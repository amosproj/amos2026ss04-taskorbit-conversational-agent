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Mid-Project Release plan" sheetId="8" r:id="rId11"/>
    <sheet state="visible" name="Burndown Chart - MidRelease" sheetId="9" r:id="rId12"/>
    <sheet state="visible" name="Velocity Tracking" sheetId="10" r:id="rId13"/>
    <sheet state="visible" name="Velocity Chart" sheetId="11" r:id="rId14"/>
    <sheet state="visible" name="Final Project Release plan" sheetId="12" r:id="rId15"/>
    <sheet state="visible" name="Burndown Chart - Final Release" sheetId="13" r:id="rId16"/>
    <sheet state="visible" name="Definition of Done" sheetId="14" r:id="rId17"/>
    <sheet state="visible" name="Documentation" sheetId="15" r:id="rId18"/>
    <sheet state="visible" name="Bill of Materials" sheetId="16" r:id="rId19"/>
    <sheet state="visible" name="Planning Poker" sheetId="17" r:id="rId20"/>
    <sheet state="visible" name="Calculations" sheetId="18" r:id="rId21"/>
  </sheets>
  <definedNames/>
  <calcPr/>
</workbook>
</file>

<file path=xl/sharedStrings.xml><?xml version="1.0" encoding="utf-8"?>
<sst xmlns="http://schemas.openxmlformats.org/spreadsheetml/2006/main" count="577" uniqueCount="382">
  <si>
    <t>Project Name</t>
  </si>
  <si>
    <t>TaskOrbit Conversational Agent</t>
  </si>
  <si>
    <t>Online team meeting</t>
  </si>
  <si>
    <t>https://fau.zoom-x.de/j/65288966243?pwd=DnF4jxSAfJugyMmynzjE1BaaFprRbi.1</t>
  </si>
  <si>
    <t>Production system (if any)</t>
  </si>
  <si>
    <t>GCP</t>
  </si>
  <si>
    <t>Test system (if any)</t>
  </si>
  <si>
    <t>None</t>
  </si>
  <si>
    <t>GitHub repository</t>
  </si>
  <si>
    <t>https://github.com/amosproj/amos2026ss04-taskorbit-conversational-agent</t>
  </si>
  <si>
    <t>GitHub feature board</t>
  </si>
  <si>
    <t>https://github.com/orgs/amosproj/projects/100/views/2</t>
  </si>
  <si>
    <t>GitHub imp-squared backlog</t>
  </si>
  <si>
    <t>https://github.com/orgs/amosproj/projects/104/views/1</t>
  </si>
  <si>
    <t>Position of T-shirt logo</t>
  </si>
  <si>
    <t>Upper Torso Center Large</t>
  </si>
  <si>
    <t>Link to logo for black T-shirt</t>
  </si>
  <si>
    <t>https://github.com/amosproj/amos2026ss04-taskorbit-conversational-agent/blob/feature/team-logo-design/Deliverables/sprint-01/team-logo.png</t>
  </si>
  <si>
    <t>Link to logo for white T-shirt</t>
  </si>
  <si>
    <t>Additional materials</t>
  </si>
  <si>
    <t>https://discord.gg/usXpc5ab</t>
  </si>
  <si>
    <t>Team maling list</t>
  </si>
  <si>
    <t>oss-amos-proj4@lists.fau.de</t>
  </si>
  <si>
    <t>Last Name</t>
  </si>
  <si>
    <t>First Name</t>
  </si>
  <si>
    <t>GitHub User Name</t>
  </si>
  <si>
    <t>Email Address</t>
  </si>
  <si>
    <t>Fatima</t>
  </si>
  <si>
    <t>Qiblatain</t>
  </si>
  <si>
    <t>qiblatainf</t>
  </si>
  <si>
    <t>qiblatain.fatima@fau.de</t>
  </si>
  <si>
    <t>Huy</t>
  </si>
  <si>
    <t>Christoph</t>
  </si>
  <si>
    <t>Perimora</t>
  </si>
  <si>
    <t>christoph.huy@campus.tu-berlin.de</t>
  </si>
  <si>
    <t>Raza</t>
  </si>
  <si>
    <t>Asad</t>
  </si>
  <si>
    <t>asadraza17</t>
  </si>
  <si>
    <t>asad.raza@fau.de</t>
  </si>
  <si>
    <t>Jokiel</t>
  </si>
  <si>
    <t>Rene</t>
  </si>
  <si>
    <t>BelmontR</t>
  </si>
  <si>
    <t>rene.jokiel@fau.de</t>
  </si>
  <si>
    <t>Mosler</t>
  </si>
  <si>
    <t>Carl</t>
  </si>
  <si>
    <t>Caerum5</t>
  </si>
  <si>
    <t>carl.mosler@tu-berlin.de</t>
  </si>
  <si>
    <t>Vineesh</t>
  </si>
  <si>
    <t>Koppay</t>
  </si>
  <si>
    <t>K-Vineesh</t>
  </si>
  <si>
    <t>vineesh.koppay@fau.de</t>
  </si>
  <si>
    <t>Moeez</t>
  </si>
  <si>
    <t>Abdul</t>
  </si>
  <si>
    <t>abdulmoeez1225</t>
  </si>
  <si>
    <t>abdul.moeez@fau.de</t>
  </si>
  <si>
    <t>Thakur</t>
  </si>
  <si>
    <t>Shikhar</t>
  </si>
  <si>
    <t>shikharthakur2404`</t>
  </si>
  <si>
    <t>shikhar.thakur@fau.de</t>
  </si>
  <si>
    <t>Dhruvin</t>
  </si>
  <si>
    <t>Vekariya</t>
  </si>
  <si>
    <t>djv03</t>
  </si>
  <si>
    <t>dhruvin.vekariya@fau.de</t>
  </si>
  <si>
    <t>Shameti</t>
  </si>
  <si>
    <t>Endri</t>
  </si>
  <si>
    <t>1Endri</t>
  </si>
  <si>
    <t>endri.shameti@fau.de</t>
  </si>
  <si>
    <t xml:space="preserve"> </t>
  </si>
  <si>
    <t>Product Owner</t>
  </si>
  <si>
    <t>#</t>
  </si>
  <si>
    <t>Meeting Day</t>
  </si>
  <si>
    <t>Review</t>
  </si>
  <si>
    <t>Planning</t>
  </si>
  <si>
    <t>Software Developer</t>
  </si>
  <si>
    <t>Release Manager</t>
  </si>
  <si>
    <t>Scrum Master</t>
  </si>
  <si>
    <t>Comment</t>
  </si>
  <si>
    <t>Everyone else</t>
  </si>
  <si>
    <t>N/A</t>
  </si>
  <si>
    <t>Endri Shameti</t>
  </si>
  <si>
    <t>Vineesh Koppay</t>
  </si>
  <si>
    <t>Asad Raza</t>
  </si>
  <si>
    <t>Abdul Moeez</t>
  </si>
  <si>
    <t>Mid-term due</t>
  </si>
  <si>
    <t>Demo day!</t>
  </si>
  <si>
    <t>Retrospective</t>
  </si>
  <si>
    <t>Product owners, software developers, and Scurm Master are set and ideally don't change over time; the critical part is the Release Manager role you need to define here</t>
  </si>
  <si>
    <t>Goals</t>
  </si>
  <si>
    <t xml:space="preserve"> Create a flawless and valuable project that the industry partner will be able to use. Create clean and reusable code and structures</t>
  </si>
  <si>
    <t>Meeting norms</t>
  </si>
  <si>
    <t>- be on time -cams on -reach out if you are not gonna make it</t>
  </si>
  <si>
    <t>- We'll respect each other's opinions and try to communicate as much as possible</t>
  </si>
  <si>
    <t>Working norms</t>
  </si>
  <si>
    <t>- Document and comment your code - We'll use branches in a sensefull way and not work directly on the main branch - Transparency - Clear commit messages - We test our code - We write clean code</t>
  </si>
  <si>
    <t>Coordination norms</t>
  </si>
  <si>
    <t>- We'll update the feature board in time - If there are multiple devs working on one item, they will communicate and coordinate and not work independently - We balance the workload among the team</t>
  </si>
  <si>
    <t>Communication norms</t>
  </si>
  <si>
    <t>- We talk about issues and problems when we face them - Transparent communication - Daily check the corresponding channels</t>
  </si>
  <si>
    <t>Consideration norms</t>
  </si>
  <si>
    <t>- We support each other when ever needed - We talk about issues openly - If we can't reach a consensus, we'll vote - We don't take critique personally</t>
  </si>
  <si>
    <t>Cont. improvement norms</t>
  </si>
  <si>
    <t>- We'll be open to learn and teach - We encourage critique and improvements efforts</t>
  </si>
  <si>
    <t>Rewards</t>
  </si>
  <si>
    <t>- We celebrate milestones with pizza - Very helpful team members get an extra slice of pizza</t>
  </si>
  <si>
    <t>Sanctions</t>
  </si>
  <si>
    <t>- Sit ups (at least 10, more if needed)</t>
  </si>
  <si>
    <t>Signatures</t>
  </si>
  <si>
    <t>Rene Jokiel</t>
  </si>
  <si>
    <t>Product owner</t>
  </si>
  <si>
    <t>Christoph Huy</t>
  </si>
  <si>
    <t>Carl Mosler</t>
  </si>
  <si>
    <t>Software developer</t>
  </si>
  <si>
    <t>Dhruvin Vekariya</t>
  </si>
  <si>
    <t>Qiblatain Fatima</t>
  </si>
  <si>
    <t>Shikhar Thakur</t>
  </si>
  <si>
    <t>Product Vision</t>
  </si>
  <si>
    <t>Project Mission</t>
  </si>
  <si>
    <t>Product Vision: TaskOrbit provides a domain-independent framework for building reliable conversational AI agents through declarative workflows and structured agent orchestration. The platform enables organizations to create configurable voice and chat agents that integrate STT, LLMs, TTS, and external APIs into unified conversational workflows.
By standardizing conversational automation across different business domains, TaskOrbit helps companies reduce manual effort, streamline internal and external processes, and deploy scalable AI-driven assistants without building custom infrastructure from scratch.</t>
  </si>
  <si>
    <t>The mission of this project is to create an MVP for a Voice AI Agent platform. Within the given project time-frame, the team is committed to delivering a fully functional conversational interface supporting configurable single-agent and multi-agent workflows. 
Core functionality will include the integration of STT for user input, a LLM backend for conversational processing and reasoning, agent orchestration capabilities, and TTS for audio output. The primary objective of this project is to provide a reliable and extensible end-to-end conversational system through the integration of these core components.</t>
  </si>
  <si>
    <t>Term</t>
  </si>
  <si>
    <t>Definition</t>
  </si>
  <si>
    <t xml:space="preserve">E2E </t>
  </si>
  <si>
    <t>End-to-End (Workflow): The complete processing pipeline of a system interaction, starting from user input through internal processing and concluding with the system’s resulting output.</t>
  </si>
  <si>
    <t>LLM (Large Language Model)</t>
  </si>
  <si>
    <t>The underlying AI backend used for conversational processing, reasoning, and generating text responses based on user prompts</t>
  </si>
  <si>
    <t>TTS (Text to Speech)</t>
  </si>
  <si>
    <t>The technology that converts text into a spoken audio output (e.g. the voice of the agent talking to the user)</t>
  </si>
  <si>
    <t>STT (Speech to Text)</t>
  </si>
  <si>
    <t>The technology that converts spoken audio input into a text (e.g., transcribing the spoken input from a user for a LLM)</t>
  </si>
  <si>
    <t>Latency</t>
  </si>
  <si>
    <t>The time delay between the end of a user's spoken input and the beginning of the agent's audio response (Roundtrip Time)</t>
  </si>
  <si>
    <t>Agent</t>
  </si>
  <si>
    <t>An autonomous entity within the platform configured with a specific persona, logic and context to interact with the user via voice (or text)</t>
  </si>
  <si>
    <t>Agent Orchestration</t>
  </si>
  <si>
    <t>The capability of the TaskOrbit framework to coordinate multiple specialized conversational agents within a single workflow to solve tasks</t>
  </si>
  <si>
    <t>Agent Persona</t>
  </si>
  <si>
    <t>The behavioral guidelines assigned to an agent to ensure it interacts appropriately with the user based on its specific task</t>
  </si>
  <si>
    <t>Agent Hand-off</t>
  </si>
  <si>
    <t>The seamless transfer of the conversation from one specialized agent to another when the user's request shifts to a different topic</t>
  </si>
  <si>
    <t>External Tool</t>
  </si>
  <si>
    <t>An external integration, API or function invoked by the agent to interact with outside services, databases or systems</t>
  </si>
  <si>
    <t>Internal Tool</t>
  </si>
  <si>
    <t>An internal capability, native logic or workflow executed within the agent's system to process information or manage tasks</t>
  </si>
  <si>
    <t>Conversation</t>
  </si>
  <si>
    <t>A continuous spoken or written dialogue interaction between a user and an agent, focused on achieving specific tasks</t>
  </si>
  <si>
    <t>User Interruption</t>
  </si>
  <si>
    <t>The event where a user starts speaking while agent is actively outputting audio, signaling to stop talking and listen to the new input</t>
  </si>
  <si>
    <t>Inference Server</t>
  </si>
  <si>
    <t>The dedicated cloud infrastructure hosting self-hosted, open-source LLMs for TaskOrbit to ensure independent processing</t>
  </si>
  <si>
    <t>Workflow Engine</t>
  </si>
  <si>
    <t>The core backend component that manages the state, routing, and execution sequence of complex, multi-step tasks across different agents</t>
  </si>
  <si>
    <t>Benchmark</t>
  </si>
  <si>
    <t>A test execution focused primarily on measuring E2E latency across different system configurations to identify the fastest processing variants</t>
  </si>
  <si>
    <t>Sprint #</t>
  </si>
  <si>
    <t>Sprint goal</t>
  </si>
  <si>
    <t>Optional</t>
  </si>
  <si>
    <t>Persistent Single-Prompt Agent Prototype</t>
  </si>
  <si>
    <t xml:space="preserve">Cloud Deployment/Migration &amp; System Robustness </t>
  </si>
  <si>
    <t>Advance core platform capabilities &amp; foundation for multi-agent workflow orchestration</t>
  </si>
  <si>
    <t>Refine agent interaction quality, tool integration &amp; production stability</t>
  </si>
  <si>
    <t>Conditional Multi-Agent Workflows &amp; Unified Processing</t>
  </si>
  <si>
    <t>Open-Source Model Integration  &amp; Evaluation Framework</t>
  </si>
  <si>
    <t>System Hardening &amp; Benchmarking</t>
  </si>
  <si>
    <t>Performance Optimization &amp; Demo Day Prep</t>
  </si>
  <si>
    <t>Handover &amp; Documentation</t>
  </si>
  <si>
    <t>Sprint</t>
  </si>
  <si>
    <t>Goal</t>
  </si>
  <si>
    <t>Feature Name</t>
  </si>
  <si>
    <t>Est. size</t>
  </si>
  <si>
    <t>Est. remaining</t>
  </si>
  <si>
    <t>Real size</t>
  </si>
  <si>
    <t>Real remaining</t>
  </si>
  <si>
    <t>Release</t>
  </si>
  <si>
    <t>Total</t>
  </si>
  <si>
    <t>Sprints</t>
  </si>
  <si>
    <t>Features</t>
  </si>
  <si>
    <t>Design Team Logo #1</t>
  </si>
  <si>
    <t>Initialize Software Bill of Materials #13</t>
  </si>
  <si>
    <t>System Architecture #12</t>
  </si>
  <si>
    <t>First UI Design &amp; Implementation #5</t>
  </si>
  <si>
    <t>Setup Development Environment #17</t>
  </si>
  <si>
    <t>Not Accepted</t>
  </si>
  <si>
    <t>Setup LiveKit Infrastructure #26</t>
  </si>
  <si>
    <t>Schema Foundation #6</t>
  </si>
  <si>
    <t>Prepare Build Process Review #22</t>
  </si>
  <si>
    <t>Core Backend Foundation #7</t>
  </si>
  <si>
    <t>CI/CD Pipeline #10</t>
  </si>
  <si>
    <t>Basic Agent Runtime #33</t>
  </si>
  <si>
    <t>Basic LLM Integration #18</t>
  </si>
  <si>
    <t>DB Integration #32</t>
  </si>
  <si>
    <t>Audio Output via LiveKit (Text-to-Speech) # 15</t>
  </si>
  <si>
    <t>Audio Input via LiveKit (Speech-to-Text) #14</t>
  </si>
  <si>
    <t>Build Process Video #43</t>
  </si>
  <si>
    <t>User Conversation History #45</t>
  </si>
  <si>
    <t>Save Agent Configuration #47</t>
  </si>
  <si>
    <t>Load Agent Configuration #51</t>
  </si>
  <si>
    <t>Manage Agent Configuration #52</t>
  </si>
  <si>
    <t>Logging &amp; Monitoring Setup #11</t>
  </si>
  <si>
    <t>Voice Interruption for Audio Chat #55</t>
  </si>
  <si>
    <t>User, Design &amp; Build Documentation #74</t>
  </si>
  <si>
    <t>Slot Extraction for Structured Task Inputs #70</t>
  </si>
  <si>
    <t>Integrate Cloud Environment with IaC #21</t>
  </si>
  <si>
    <t>Agent Persona Guardrails #69</t>
  </si>
  <si>
    <t>PLEASE CREATE THE BURNDOWN CHART ON A NEW TAB USING THE DATA FROM THIS TAB</t>
  </si>
  <si>
    <t>Story Points Realized</t>
  </si>
  <si>
    <t>Story Points Estimate</t>
  </si>
  <si>
    <t>PLEASE CREATE THE VELOCITY CHART ON A NEW TAB USING THE DATA FROM THIS TAB</t>
  </si>
  <si>
    <t>Agent Config not persistant through text and voice prompts #99</t>
  </si>
  <si>
    <t>Agent/LLM Memory Safeguards #56</t>
  </si>
  <si>
    <t>Voice input splits into multiple bubbles &amp; numbers/symbols are formatted wrong #102</t>
  </si>
  <si>
    <t>Agent Routing Foundation #8</t>
  </si>
  <si>
    <t>[PROD] Agent config not loaded correctly #100</t>
  </si>
  <si>
    <t>Livekit - Session Limit #112</t>
  </si>
  <si>
    <t>Generic Adapter for external Tools #66</t>
  </si>
  <si>
    <t>Stream LLM Responses #57</t>
  </si>
  <si>
    <t>[Tools] End Call #116</t>
  </si>
  <si>
    <t>Critical Action Confirmation #49</t>
  </si>
  <si>
    <t>Microphone Mute interrupts Agent TTS output #101</t>
  </si>
  <si>
    <t>Provider Model Dropdown #87</t>
  </si>
  <si>
    <t>Conditional Workflow Engine #71</t>
  </si>
  <si>
    <t>[PROD] Grafana Backend Fix #103</t>
  </si>
  <si>
    <t>Interchangeable Model Selection #135</t>
  </si>
  <si>
    <t>Mute Agent Output #107</t>
  </si>
  <si>
    <t>Custom Agent Routing #129</t>
  </si>
  <si>
    <t>Cloud Open Source Inference Server #67</t>
  </si>
  <si>
    <t>Benchmarking Environment #86</t>
  </si>
  <si>
    <t>Investigate high API usage rate #151</t>
  </si>
  <si>
    <t>Voice detection does not terminate #153</t>
  </si>
  <si>
    <t>Component Benchmarking #68</t>
  </si>
  <si>
    <t>Grafana OS Model Monitoring integration #139</t>
  </si>
  <si>
    <t>Visuals &amp; Fallback for external API Outages #150</t>
  </si>
  <si>
    <t>Dynamic Critical Action Confirmation #143</t>
  </si>
  <si>
    <t>Support Markdown formatting in Chat UI #165</t>
  </si>
  <si>
    <t>Self-Hosted LLM Inference on GCP #160</t>
  </si>
  <si>
    <t>Remove Legacy Text Processing Pipeline #126</t>
  </si>
  <si>
    <t xml:space="preserve">ElevenLabs and Deepgram provider switching is unreliable #166 </t>
  </si>
  <si>
    <t>Final Model Selection</t>
  </si>
  <si>
    <t>Prepare demo day slide</t>
  </si>
  <si>
    <t>Create a demo video</t>
  </si>
  <si>
    <t>Final Model Benchmark</t>
  </si>
  <si>
    <t>Clean Up UI</t>
  </si>
  <si>
    <t xml:space="preserve">SBOM Automation &amp; Legal Notices UI #138 </t>
  </si>
  <si>
    <t>Transitive Workflow Dependency Resolution #156</t>
  </si>
  <si>
    <t>Finalize user, (technical) design and build/deploy documentation</t>
  </si>
  <si>
    <t xml:space="preserve">Create project report </t>
  </si>
  <si>
    <t>Final Bug Fixes</t>
  </si>
  <si>
    <t>Annotate and clean up Code</t>
  </si>
  <si>
    <t>Prepare Demoday presentation</t>
  </si>
  <si>
    <t>Feature Definition of Done</t>
  </si>
  <si>
    <t>Sprint Release Definition of Done</t>
  </si>
  <si>
    <t>Project Release Definition of Done</t>
  </si>
  <si>
    <t>General coding standards are met (eg. Formatting, Comments, Logging, no API-Keys in Repo)</t>
  </si>
  <si>
    <t>Every PR is peer-reviewed by at least one other developer</t>
  </si>
  <si>
    <t>Documentation is updated (eg. System Architecture, SBOM)</t>
  </si>
  <si>
    <t>Unit tests for new features have been written</t>
  </si>
  <si>
    <t>A release candidate representing a functional and verifiable increment over the previous sprint is tagged</t>
  </si>
  <si>
    <t>Existing features must remain operational and unaffected by the new changes</t>
  </si>
  <si>
    <t>Sprint release changelog have been written</t>
  </si>
  <si>
    <t>The system can be built and started from a clean repository checkout</t>
  </si>
  <si>
    <t>Core workflows are fully integrated and demonstrable end-to-end</t>
  </si>
  <si>
    <t>All major components are integrated and operational</t>
  </si>
  <si>
    <t>No critical or blocker defects remain open</t>
  </si>
  <si>
    <t>Architecture and technical documentation are finalized and updated</t>
  </si>
  <si>
    <t>SBOM and required project documentation are completed</t>
  </si>
  <si>
    <t>CI/CD pipeline passes successfully for the release version</t>
  </si>
  <si>
    <t>Release version is tagged and reproducible</t>
  </si>
  <si>
    <t>Build and deployment instructions are documented and verified</t>
  </si>
  <si>
    <t>Source code, documentation, and deliverables are submitted</t>
  </si>
  <si>
    <t>Type</t>
  </si>
  <si>
    <t>Link / reference</t>
  </si>
  <si>
    <t>Team Logo (SVG + PNG)</t>
  </si>
  <si>
    <t>Context</t>
  </si>
  <si>
    <t>Name</t>
  </si>
  <si>
    <t>Version</t>
  </si>
  <si>
    <t>License</t>
  </si>
  <si>
    <t>python</t>
  </si>
  <si>
    <t>fastapi</t>
  </si>
  <si>
    <t>^0.115.0</t>
  </si>
  <si>
    <t>MIT</t>
  </si>
  <si>
    <t>REST API framework</t>
  </si>
  <si>
    <t>uvicorn</t>
  </si>
  <si>
    <t>^0.32.0</t>
  </si>
  <si>
    <t>BSD</t>
  </si>
  <si>
    <t>ASGI server</t>
  </si>
  <si>
    <t>pydantic</t>
  </si>
  <si>
    <t>^2.9.0</t>
  </si>
  <si>
    <t>Data validation</t>
  </si>
  <si>
    <t>pydantic-settings</t>
  </si>
  <si>
    <t>^2.6.0</t>
  </si>
  <si>
    <t>Settings management</t>
  </si>
  <si>
    <t>python-dotenv</t>
  </si>
  <si>
    <t>^1.0.1</t>
  </si>
  <si>
    <t>Environment config</t>
  </si>
  <si>
    <t>livekit-agents</t>
  </si>
  <si>
    <t>^1.5.0</t>
  </si>
  <si>
    <t>Apache-2.0</t>
  </si>
  <si>
    <t>Voice agent framework</t>
  </si>
  <si>
    <t>sqlalchemy</t>
  </si>
  <si>
    <t>^2.0.36</t>
  </si>
  <si>
    <t>Database ORM</t>
  </si>
  <si>
    <t>alembic</t>
  </si>
  <si>
    <t>^1.14.0</t>
  </si>
  <si>
    <t>Database migrations</t>
  </si>
  <si>
    <t>psycopg</t>
  </si>
  <si>
    <t>^3.2.0</t>
  </si>
  <si>
    <t>LGPL</t>
  </si>
  <si>
    <t>PostgreSQL driver</t>
  </si>
  <si>
    <t>structlog</t>
  </si>
  <si>
    <t>^24.4.0</t>
  </si>
  <si>
    <t>Structured logging</t>
  </si>
  <si>
    <t>prometheus-fastapi-instrumentator</t>
  </si>
  <si>
    <t>^7.0.0</t>
  </si>
  <si>
    <t>ISC</t>
  </si>
  <si>
    <t>FastAPI middleware for Prometheus metrics</t>
  </si>
  <si>
    <t xml:space="preserve">prometheus-client </t>
  </si>
  <si>
    <t>^0.22.0</t>
  </si>
  <si>
    <t>Official Prometheus instrumentation client</t>
  </si>
  <si>
    <t>opentelemetry-api</t>
  </si>
  <si>
    <t>&gt;=1.27.0</t>
  </si>
  <si>
    <t>OpenTelemetry tracing and metrics API</t>
  </si>
  <si>
    <t>opentelemetry-sdk</t>
  </si>
  <si>
    <t>OpenTelemetry reference implementation SDK</t>
  </si>
  <si>
    <t>httpx</t>
  </si>
  <si>
    <t>^0.28.1</t>
  </si>
  <si>
    <t>HTTP client</t>
  </si>
  <si>
    <t>npm</t>
  </si>
  <si>
    <t>react</t>
  </si>
  <si>
    <t>^19.0.0</t>
  </si>
  <si>
    <t>UI framework</t>
  </si>
  <si>
    <t>react-dom</t>
  </si>
  <si>
    <t>React DOM renderer</t>
  </si>
  <si>
    <t>livekit-client</t>
  </si>
  <si>
    <t>^2.5.0</t>
  </si>
  <si>
    <t>LiveKit client SDK</t>
  </si>
  <si>
    <t>@livekit/components-react</t>
  </si>
  <si>
    <t>LiveKit React components</t>
  </si>
  <si>
    <t>@livekit/components-styles</t>
  </si>
  <si>
    <t>^1.1.0</t>
  </si>
  <si>
    <t>LiveKit component styles</t>
  </si>
  <si>
    <t>react-router-dom</t>
  </si>
  <si>
    <t>^7.1.0</t>
  </si>
  <si>
    <t>Client-side routing</t>
  </si>
  <si>
    <t>sonner</t>
  </si>
  <si>
    <t>^2.0.7</t>
  </si>
  <si>
    <t>Toast notifications</t>
  </si>
  <si>
    <t>next-themes</t>
  </si>
  <si>
    <t>^0.4.6</t>
  </si>
  <si>
    <t>Theme management</t>
  </si>
  <si>
    <t>@radix-ui/react-slot</t>
  </si>
  <si>
    <t>Slot component for Radix UI</t>
  </si>
  <si>
    <t>class-variance-authority</t>
  </si>
  <si>
    <t>^0.7.0</t>
  </si>
  <si>
    <t>Variant management for classes</t>
  </si>
  <si>
    <t>clsx</t>
  </si>
  <si>
    <t>^2.1.1</t>
  </si>
  <si>
    <t>Class name utility</t>
  </si>
  <si>
    <t>lucide-react</t>
  </si>
  <si>
    <t>^0.460.0</t>
  </si>
  <si>
    <t>Icon library for React</t>
  </si>
  <si>
    <t>radix-ui</t>
  </si>
  <si>
    <t>^1.4.3</t>
  </si>
  <si>
    <t>Radix UI primitives</t>
  </si>
  <si>
    <t>tailwind-merge</t>
  </si>
  <si>
    <t>Tailwind class merging</t>
  </si>
  <si>
    <t>aiosqlite</t>
  </si>
  <si>
    <t>^0.22.1</t>
  </si>
  <si>
    <t>Async SQLite driver for testing</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</si>
  <si>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</si>
  <si>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</si>
  <si>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</si>
  <si>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</si>
  <si>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</si>
  <si>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</si>
  <si>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</si>
  <si>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</si>
  <si>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</si>
  <si>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</si>
  <si>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</si>
  <si>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</si>
  <si>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Mid Project Release</t>
  </si>
  <si>
    <t>Development Speed</t>
  </si>
  <si>
    <t>Final Release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</si>
</sst>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b/>
      <name val="Arial"/>
    </font>
    <font>
      <name val="Arial"/>
    </font>
    <font>
      <sz val="10.0"/>
      <name val="Arial"/>
    </font>
    <font>
      <color rgb="FFFFFFFF"/>
      <name val="Arial"/>
    </font>
    <font>
      <b/>
      <color rgb="FFFF0000"/>
      <name val="Arial"/>
    </font>
    <font>
      <b/>
      <sz val="24.0"/>
      <name val="Arial"/>
    </font>
    <font>
      <color rgb="FF00000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s>
  <borders count="1">
    <border/>
  </borders>
  <cellStyleXfs count="1">
    <xf borderId="0" fillId="0" fontId="0" numFmtId="0" applyAlignment="1" applyFont="1"/>
  </cellStyleXfs>
  <cellXfs count="13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8" numFmtId="0" xfId="0" applyAlignment="1" applyFont="1">
      <alignment horizontal="left" readingOrder="0" shrinkToFit="0" wrapText="1"/>
    </xf>
    <xf borderId="0" fillId="3" fontId="0" numFmtId="0" xfId="0" applyAlignment="1" applyFill="1" applyFont="1">
      <alignment horizontal="left" readingOrder="0" shrinkToFit="0" wrapText="1"/>
    </xf>
    <xf borderId="0" fillId="0" fontId="0" numFmtId="0" xfId="0" applyAlignment="1" applyFont="1">
      <alignment horizontal="left" readingOrder="0" shrinkToFit="0" vertical="top" wrapText="1"/>
    </xf>
    <xf borderId="0" fillId="0" fontId="2" numFmtId="0" xfId="0" applyAlignment="1" applyFont="1">
      <alignment horizontal="left"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1"/>
    </xf>
    <xf borderId="0" fillId="5" fontId="6" numFmtId="0" xfId="0" applyAlignment="1" applyFill="1" applyFont="1">
      <alignment horizontal="left" shrinkToFit="0" vertical="bottom" wrapText="0"/>
    </xf>
    <xf borderId="0" fillId="5" fontId="7" numFmtId="0" xfId="0" applyAlignment="1" applyFont="1">
      <alignment shrinkToFit="0" vertical="bottom" wrapText="0"/>
    </xf>
    <xf borderId="0" fillId="5"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6" fontId="6" numFmtId="0" xfId="0" applyAlignment="1" applyFill="1" applyFont="1">
      <alignment horizontal="left" shrinkToFit="0" vertical="bottom" wrapText="0"/>
    </xf>
    <xf borderId="0" fillId="6" fontId="6" numFmtId="0" xfId="0" applyAlignment="1" applyFont="1">
      <alignment shrinkToFit="0" vertical="bottom" wrapText="0"/>
    </xf>
    <xf borderId="0" fillId="6" fontId="7" numFmtId="0" xfId="0" applyAlignment="1" applyFont="1">
      <alignment shrinkToFit="0" vertical="bottom" wrapText="1"/>
    </xf>
    <xf borderId="0" fillId="3" fontId="9" numFmtId="0" xfId="0" applyAlignment="1" applyFont="1">
      <alignment horizontal="left" readingOrder="0" shrinkToFit="0" vertical="bottom" wrapText="1"/>
    </xf>
    <xf borderId="0" fillId="3" fontId="9" numFmtId="0" xfId="0" applyAlignment="1" applyFont="1">
      <alignment horizontal="center" readingOrder="0"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4" fontId="7" numFmtId="0" xfId="0" applyAlignment="1" applyFont="1">
      <alignment horizontal="left" readingOrder="0" shrinkToFit="0" vertical="bottom" wrapText="1"/>
    </xf>
    <xf borderId="0" fillId="0" fontId="2" numFmtId="0" xfId="0" applyAlignment="1" applyFont="1">
      <alignment horizontal="left" readingOrder="0" shrinkToFit="0" wrapText="1"/>
    </xf>
    <xf borderId="0" fillId="4" fontId="7" numFmtId="0" xfId="0" applyAlignment="1" applyFont="1">
      <alignmen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readingOrder="0"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3" fontId="7" numFmtId="0" xfId="0" applyAlignment="1" applyFont="1">
      <alignment readingOrder="0" shrinkToFit="0" vertical="bottom" wrapText="0"/>
    </xf>
    <xf borderId="0" fillId="4" fontId="7" numFmtId="0" xfId="0" applyAlignment="1" applyFont="1">
      <alignment horizontal="right" readingOrder="0" shrinkToFit="0" vertical="bottom" wrapText="1"/>
    </xf>
    <xf borderId="0" fillId="4"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1"/>
    </xf>
    <xf borderId="0" fillId="4" fontId="7" numFmtId="0" xfId="0" applyAlignment="1" applyFont="1">
      <alignment horizontal="right" readingOrder="0" shrinkToFit="0" vertical="bottom" wrapText="0"/>
    </xf>
    <xf borderId="0" fillId="3" fontId="7" numFmtId="0" xfId="0" applyAlignment="1" applyFont="1">
      <alignment horizontal="right" readingOrder="0" shrinkToFit="0" vertical="bottom" wrapText="0"/>
    </xf>
    <xf borderId="0" fillId="4" fontId="2" numFmtId="0" xfId="0" applyAlignment="1" applyFont="1">
      <alignment shrinkToFit="0" wrapText="1"/>
    </xf>
    <xf borderId="0" fillId="4" fontId="10" numFmtId="0" xfId="0" applyAlignment="1" applyFont="1">
      <alignment shrinkToFit="0" vertical="bottom" wrapText="1"/>
    </xf>
    <xf borderId="0" fillId="8" fontId="1" numFmtId="0" xfId="0" applyAlignment="1" applyFill="1" applyFont="1">
      <alignment horizontal="left" readingOrder="0" shrinkToFit="0" wrapText="1"/>
    </xf>
    <xf borderId="0" fillId="2" fontId="6" numFmtId="0" xfId="0" applyAlignment="1" applyFont="1">
      <alignment shrinkToFit="0" vertical="bottom" wrapText="1"/>
    </xf>
    <xf borderId="0" fillId="6" fontId="6" numFmtId="0" xfId="0" applyAlignment="1" applyFont="1">
      <alignment shrinkToFit="0" vertical="bottom" wrapText="0"/>
    </xf>
    <xf borderId="0" fillId="3" fontId="9" numFmtId="0" xfId="0" applyAlignment="1" applyFont="1">
      <alignment horizontal="center" shrinkToFit="0" vertical="bottom" wrapText="0"/>
    </xf>
    <xf borderId="0" fillId="3" fontId="7" numFmtId="0" xfId="0" applyAlignment="1" applyFont="1">
      <alignment shrinkToFit="0" vertical="bottom" wrapText="1"/>
    </xf>
    <xf borderId="0" fillId="4" fontId="6" numFmtId="0" xfId="0" applyAlignment="1" applyFont="1">
      <alignment horizontal="left" shrinkToFit="0" vertical="bottom" wrapText="1"/>
    </xf>
    <xf borderId="0" fillId="3" fontId="7" numFmtId="0" xfId="0" applyAlignment="1" applyFont="1">
      <alignment horizontal="right" readingOrder="0" shrinkToFit="0" vertical="bottom" wrapText="1"/>
    </xf>
    <xf borderId="0" fillId="4" fontId="7" numFmtId="0" xfId="0" applyAlignment="1" applyFont="1">
      <alignment shrinkToFit="0" vertical="bottom" wrapText="1"/>
    </xf>
    <xf borderId="0" fillId="3" fontId="6" numFmtId="0" xfId="0" applyAlignment="1" applyFont="1">
      <alignment horizontal="left" shrinkToFit="0" vertical="bottom" wrapText="1"/>
    </xf>
    <xf borderId="0" fillId="8"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3" fontId="7" numFmtId="0" xfId="0" applyAlignment="1" applyFont="1">
      <alignment readingOrder="0" shrinkToFit="0" vertical="bottom"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8"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7" fontId="11" numFmtId="4" xfId="0" applyAlignment="1" applyFont="1" applyNumberFormat="1">
      <alignment horizontal="center" shrinkToFit="0" vertical="center" wrapText="1"/>
    </xf>
    <xf borderId="0" fillId="7" fontId="11"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6" fontId="7" numFmtId="0" xfId="0" applyAlignment="1" applyFont="1">
      <alignment horizontal="center" shrinkToFit="0" vertical="center" wrapText="1"/>
    </xf>
    <xf borderId="0" fillId="6" fontId="7" numFmtId="0" xfId="0" applyAlignment="1" applyFont="1">
      <alignment readingOrder="0" shrinkToFit="0" vertical="center" wrapText="1"/>
    </xf>
    <xf borderId="0" fillId="4" fontId="6"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2" fontId="6"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3" fontId="7" numFmtId="0" xfId="0" applyAlignment="1" applyFont="1">
      <alignment shrinkToFit="0" vertical="bottom" wrapText="1"/>
    </xf>
    <xf borderId="0" fillId="5" fontId="7" numFmtId="0" xfId="0" applyAlignment="1" applyFont="1">
      <alignment shrinkToFit="0" vertical="bottom" wrapText="1"/>
    </xf>
    <xf borderId="0" fillId="4" fontId="7" numFmtId="0" xfId="0" applyAlignment="1" applyFont="1">
      <alignment shrinkToFit="0" vertical="bottom" wrapText="1"/>
    </xf>
    <xf borderId="0" fillId="6" fontId="7" numFmtId="0" xfId="0" applyAlignment="1" applyFont="1">
      <alignment shrinkToFit="0" vertical="bottom" wrapText="1"/>
    </xf>
    <xf borderId="0" fillId="9" fontId="12" numFmtId="0" xfId="0" applyAlignment="1" applyFill="1" applyFont="1">
      <alignment horizontal="center" readingOrder="0" shrinkToFit="0" vertical="bottom" wrapText="0"/>
    </xf>
    <xf borderId="0" fillId="4" fontId="7" numFmtId="0" xfId="0" applyAlignment="1" applyFont="1">
      <alignment horizontal="right" shrinkToFit="0" vertical="bottom" wrapText="0"/>
    </xf>
    <xf borderId="0" fillId="3" fontId="7" numFmtId="0" xfId="0" applyAlignment="1" applyFont="1">
      <alignment horizontal="righ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3" pivot="0" name="Calculations-style">
      <tableStyleElement dxfId="1" type="headerRow"/>
      <tableStyleElement dxfId="2" type="firstRowStripe"/>
      <tableStyleElement dxfId="3" type="secondRowStripe"/>
    </tableStyle>
    <tableStyle count="3" pivot="0" name="Calculations-style 2">
      <tableStyleElement dxfId="1" type="headerRow"/>
      <tableStyleElement dxfId="2" type="firstRowStripe"/>
      <tableStyleElement dxfId="3" type="secondRowStripe"/>
    </tableStyle>
    <tableStyle count="3" pivot="0" name="Calculation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6.xml"/><Relationship Id="rId13" Type="http://schemas.openxmlformats.org/officeDocument/2006/relationships/worksheet" Target="worksheets/sheet9.xml"/><Relationship Id="rId12" Type="http://schemas.openxmlformats.org/officeDocument/2006/relationships/chartsheet" Target="chartsheets/sheet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chartsheet" Target="chartsheets/sheet2.xml"/><Relationship Id="rId5" Type="http://schemas.openxmlformats.org/officeDocument/2006/relationships/worksheet" Target="worksheets/sheet2.xml"/><Relationship Id="rId19" Type="http://schemas.openxmlformats.org/officeDocument/2006/relationships/worksheet" Target="worksheets/sheet14.xml"/><Relationship Id="rId6" Type="http://schemas.openxmlformats.org/officeDocument/2006/relationships/worksheet" Target="worksheets/sheet3.xml"/><Relationship Id="rId18" Type="http://schemas.openxmlformats.org/officeDocument/2006/relationships/worksheet" Target="worksheets/sheet1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Mid Release</a:t>
            </a:r>
          </a:p>
        </c:rich>
      </c:tx>
      <c:overlay val="0"/>
    </c:title>
    <c:plotArea>
      <c:layout/>
      <c:barChart>
        <c:barDir val="col"/>
        <c:ser>
          <c:idx val="0"/>
          <c:order val="0"/>
          <c:tx>
            <c:strRef>
              <c:f>'Mid-Project Release plan'!$B$8</c:f>
            </c:strRef>
          </c:tx>
          <c:spPr>
            <a:solidFill>
              <a:srgbClr val="674EA7"/>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plan'!$B$9:$B$15</c:f>
              <c:numCache/>
            </c:numRef>
          </c:val>
        </c:ser>
        <c:ser>
          <c:idx val="1"/>
          <c:order val="1"/>
          <c:tx>
            <c:strRef>
              <c:f>'Mid-Project Release plan'!$C$8</c:f>
            </c:strRef>
          </c:tx>
          <c:spPr>
            <a:solidFill>
              <a:srgbClr val="A4C2F4"/>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plan'!$C$9:$C$15</c:f>
              <c:numCache/>
            </c:numRef>
          </c:val>
        </c:ser>
        <c:axId val="1332962506"/>
        <c:axId val="583516985"/>
      </c:barChart>
      <c:lineChart>
        <c:varyColors val="0"/>
        <c:ser>
          <c:idx val="2"/>
          <c:order val="2"/>
          <c:tx>
            <c:strRef>
              <c:f>'Mid-Project Release plan'!$E$8</c:f>
            </c:strRef>
          </c:tx>
          <c:spPr>
            <a:ln cmpd="sng">
              <a:solidFill>
                <a:srgbClr val="F4B400"/>
              </a:solidFill>
            </a:ln>
          </c:spPr>
          <c:marker>
            <c:symbol val="none"/>
          </c:marker>
          <c:cat>
            <c:strRef>
              <c:f>'Mid-Project Release plan'!$A$9:$A$15</c:f>
            </c:strRef>
          </c:cat>
          <c:val>
            <c:numRef>
              <c:f>'Mid-Project Release plan'!$E$9:$E$15</c:f>
              <c:numCache/>
            </c:numRef>
          </c:val>
          <c:smooth val="0"/>
        </c:ser>
        <c:axId val="1332962506"/>
        <c:axId val="583516985"/>
      </c:lineChart>
      <c:catAx>
        <c:axId val="133296250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83516985"/>
      </c:catAx>
      <c:valAx>
        <c:axId val="5835169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3296250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Final Release</a:t>
            </a:r>
          </a:p>
        </c:rich>
      </c:tx>
      <c:overlay val="0"/>
    </c:title>
    <c:plotArea>
      <c:layout/>
      <c:barChart>
        <c:barDir val="col"/>
        <c:ser>
          <c:idx val="0"/>
          <c:order val="0"/>
          <c:tx>
            <c:strRef>
              <c:f>'Mid-Project Release plan'!$B$8</c:f>
            </c:strRef>
          </c:tx>
          <c:spPr>
            <a:solidFill>
              <a:srgbClr val="674EA7"/>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plan'!$B$9:$B$15</c:f>
              <c:numCache/>
            </c:numRef>
          </c:val>
        </c:ser>
        <c:ser>
          <c:idx val="1"/>
          <c:order val="1"/>
          <c:tx>
            <c:strRef>
              <c:f>'Mid-Project Release plan'!$C$8</c:f>
            </c:strRef>
          </c:tx>
          <c:spPr>
            <a:solidFill>
              <a:srgbClr val="A4C2F4"/>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plan'!$C$9:$C$15</c:f>
              <c:numCache/>
            </c:numRef>
          </c:val>
        </c:ser>
        <c:axId val="1108510427"/>
        <c:axId val="864168547"/>
      </c:barChart>
      <c:lineChart>
        <c:varyColors val="0"/>
        <c:ser>
          <c:idx val="2"/>
          <c:order val="2"/>
          <c:tx>
            <c:strRef>
              <c:f>'Final Project Release plan'!$E$8</c:f>
            </c:strRef>
          </c:tx>
          <c:spPr>
            <a:ln cmpd="sng">
              <a:solidFill>
                <a:srgbClr val="F4B400"/>
              </a:solidFill>
            </a:ln>
          </c:spPr>
          <c:marker>
            <c:symbol val="none"/>
          </c:marker>
          <c:cat>
            <c:strRef>
              <c:f>'Final Project Release plan'!$A$9:$A$15</c:f>
            </c:strRef>
          </c:cat>
          <c:val>
            <c:numRef>
              <c:f>'Final Project Release plan'!$E$9:$E$15</c:f>
              <c:numCache/>
            </c:numRef>
          </c:val>
          <c:smooth val="0"/>
        </c:ser>
        <c:axId val="1108510427"/>
        <c:axId val="864168547"/>
      </c:lineChart>
      <c:catAx>
        <c:axId val="110851042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864168547"/>
      </c:catAx>
      <c:valAx>
        <c:axId val="8641685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108510427"/>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Chart2.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629436998" name="Chart2"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TaskOrbit Conversational Agent"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 Create a flawless and valuable project that the industry partner will be able to use. Create clean and reusable code and structures" id="2"/>
  </tableColumns>
  <tableStyleInfo name="Team Contract-style" showColumnStripes="0" showFirstColumn="1" showLastColumn="1" showRowStripes="1"/>
</table>
</file>

<file path=xl/tables/table5.xml><?xml version="1.0" encoding="utf-8"?>
<table xmlns="http://schemas.openxmlformats.org/spreadsheetml/2006/main" ref="A1:B3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G66" displayName="Table_7" name="Table_7" id="7">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8.xml><?xml version="1.0" encoding="utf-8"?>
<table xmlns="http://schemas.openxmlformats.org/spreadsheetml/2006/main" ref="A1:C20" displayName="Table_8" name="Table_8" id="8">
  <tableColumns count="3">
    <tableColumn name="Sprint #" id="1"/>
    <tableColumn name="Story Points Realized" id="2"/>
    <tableColumn name="Story Points Estimate" id="3"/>
  </tableColumns>
  <tableStyleInfo name="Velocity Tracking-style" showColumnStripes="0" showFirstColumn="1" showLastColumn="1" showRowStripes="1"/>
</table>
</file>

<file path=xl/tables/table9.xml><?xml version="1.0" encoding="utf-8"?>
<table xmlns="http://schemas.openxmlformats.org/spreadsheetml/2006/main" ref="A1:G10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44"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ables/table13.xml><?xml version="1.0" encoding="utf-8"?>
<table xmlns="http://schemas.openxmlformats.org/spreadsheetml/2006/main" ref="A1:C16" displayName="Table_13" name="Table_13" id="13">
  <tableColumns count="3">
    <tableColumn name="Sprint #" id="1"/>
    <tableColumn name="Story Points Realized" id="2"/>
    <tableColumn name="Average Realized (23 SP/s)" id="3"/>
  </tableColumns>
  <tableStyleInfo name="Calculations-style" showColumnStripes="0" showFirstColumn="1" showLastColumn="1" showRowStripes="1"/>
</table>
</file>

<file path=xl/tables/table14.xml><?xml version="1.0" encoding="utf-8"?>
<table xmlns="http://schemas.openxmlformats.org/spreadsheetml/2006/main" ref="F1:M15" displayName="Table_14" name="Table_14" id="14">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2" showColumnStripes="0" showFirstColumn="1" showLastColumn="1" showRowStripes="1"/>
</table>
</file>

<file path=xl/tables/table15.xml><?xml version="1.0" encoding="utf-8"?>
<table xmlns="http://schemas.openxmlformats.org/spreadsheetml/2006/main" ref="F18:M33" displayName="Table_15" name="Table_15" id="15">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3"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288966243?pwd=DnF4jxSAfJugyMmynzjE1BaaFprRbi.1" TargetMode="External"/><Relationship Id="rId2" Type="http://schemas.openxmlformats.org/officeDocument/2006/relationships/hyperlink" Target="https://github.com/amosproj/amos2026ss04-taskorbit-conversational-agent" TargetMode="External"/><Relationship Id="rId3" Type="http://schemas.openxmlformats.org/officeDocument/2006/relationships/hyperlink" Target="https://github.com/orgs/amosproj/projects/100/views/2" TargetMode="External"/><Relationship Id="rId4" Type="http://schemas.openxmlformats.org/officeDocument/2006/relationships/hyperlink" Target="https://github.com/orgs/amosproj/projects/104/views/1" TargetMode="External"/><Relationship Id="rId10" Type="http://schemas.openxmlformats.org/officeDocument/2006/relationships/table" Target="../tables/table1.xml"/><Relationship Id="rId5" Type="http://schemas.openxmlformats.org/officeDocument/2006/relationships/hyperlink" Target="https://github.com/amosproj/amos2026ss04-taskorbit-conversational-agent/blob/feature/team-logo-design/Deliverables/sprint-01/team-logo.png" TargetMode="External"/><Relationship Id="rId6" Type="http://schemas.openxmlformats.org/officeDocument/2006/relationships/hyperlink" Target="https://github.com/amosproj/amos2026ss04-taskorbit-conversational-agent/blob/feature/team-logo-design/Deliverables/sprint-01/team-logo.png" TargetMode="External"/><Relationship Id="rId7" Type="http://schemas.openxmlformats.org/officeDocument/2006/relationships/hyperlink" Target="https://discord.gg/usXpc5ab"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amosproj/amos2026ss04-taskorbit-conversational-agent/blob/feature/team-logo-design/Deliverables/sprint-01/team-logo.png" TargetMode="External"/><Relationship Id="rId2" Type="http://schemas.openxmlformats.org/officeDocument/2006/relationships/drawing" Target="../drawings/drawing15.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8.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6" t="s">
        <v>11</v>
      </c>
    </row>
    <row r="10">
      <c r="A10" s="4" t="s">
        <v>12</v>
      </c>
      <c r="B10" s="6" t="s">
        <v>13</v>
      </c>
    </row>
    <row r="11">
      <c r="A11" s="1"/>
      <c r="B11" s="3"/>
    </row>
    <row r="12">
      <c r="A12" s="7" t="s">
        <v>14</v>
      </c>
      <c r="B12" s="2" t="s">
        <v>15</v>
      </c>
    </row>
    <row r="13">
      <c r="A13" s="4" t="s">
        <v>16</v>
      </c>
      <c r="B13" s="6" t="s">
        <v>17</v>
      </c>
    </row>
    <row r="14">
      <c r="A14" s="4" t="s">
        <v>18</v>
      </c>
      <c r="B14" s="8" t="s">
        <v>17</v>
      </c>
    </row>
    <row r="15">
      <c r="A15" s="1"/>
      <c r="B15" s="3"/>
    </row>
    <row r="16">
      <c r="A16" s="1" t="s">
        <v>19</v>
      </c>
      <c r="B16" s="6"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1"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12"/>
      <c r="B12" s="12"/>
      <c r="C12" s="12"/>
      <c r="D12" s="12"/>
    </row>
    <row r="13">
      <c r="A13" s="9" t="s">
        <v>67</v>
      </c>
      <c r="B13" s="13"/>
      <c r="C13" s="13"/>
      <c r="D13" s="13"/>
    </row>
    <row r="14">
      <c r="A14" s="12"/>
      <c r="B14" s="10"/>
      <c r="C14" s="12"/>
      <c r="D14" s="12"/>
    </row>
    <row r="15">
      <c r="A15" s="12"/>
      <c r="B15" s="10"/>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44</v>
      </c>
      <c r="E3" s="10" t="s">
        <v>77</v>
      </c>
      <c r="F3" s="10" t="s">
        <v>78</v>
      </c>
      <c r="G3" s="10" t="s">
        <v>40</v>
      </c>
      <c r="H3" s="20"/>
    </row>
    <row r="4">
      <c r="A4" s="18">
        <v>2.0</v>
      </c>
      <c r="B4" s="21">
        <f t="shared" ref="B4:B17" si="1">B3+7</f>
        <v>46134</v>
      </c>
      <c r="C4" s="10" t="s">
        <v>44</v>
      </c>
      <c r="D4" s="10" t="s">
        <v>32</v>
      </c>
      <c r="E4" s="10"/>
      <c r="F4" s="10" t="s">
        <v>79</v>
      </c>
      <c r="G4" s="10" t="s">
        <v>40</v>
      </c>
      <c r="H4" s="20"/>
    </row>
    <row r="5">
      <c r="A5" s="18">
        <v>3.0</v>
      </c>
      <c r="B5" s="21">
        <f t="shared" si="1"/>
        <v>46141</v>
      </c>
      <c r="C5" s="10" t="s">
        <v>32</v>
      </c>
      <c r="D5" s="10" t="s">
        <v>44</v>
      </c>
      <c r="E5" s="10"/>
      <c r="F5" s="10" t="s">
        <v>59</v>
      </c>
      <c r="G5" s="10" t="s">
        <v>40</v>
      </c>
      <c r="H5" s="20"/>
    </row>
    <row r="6">
      <c r="A6" s="18">
        <v>4.0</v>
      </c>
      <c r="B6" s="21">
        <f t="shared" si="1"/>
        <v>46148</v>
      </c>
      <c r="C6" s="10" t="s">
        <v>44</v>
      </c>
      <c r="D6" s="10" t="s">
        <v>32</v>
      </c>
      <c r="E6" s="10"/>
      <c r="F6" s="10" t="s">
        <v>28</v>
      </c>
      <c r="G6" s="10" t="s">
        <v>40</v>
      </c>
      <c r="H6" s="20"/>
    </row>
    <row r="7">
      <c r="A7" s="18">
        <v>5.0</v>
      </c>
      <c r="B7" s="21">
        <f t="shared" si="1"/>
        <v>46155</v>
      </c>
      <c r="C7" s="10" t="s">
        <v>32</v>
      </c>
      <c r="D7" s="10" t="s">
        <v>44</v>
      </c>
      <c r="E7" s="10"/>
      <c r="F7" s="10" t="s">
        <v>80</v>
      </c>
      <c r="G7" s="10" t="s">
        <v>40</v>
      </c>
      <c r="H7" s="20"/>
    </row>
    <row r="8">
      <c r="A8" s="18">
        <v>6.0</v>
      </c>
      <c r="B8" s="21">
        <f t="shared" si="1"/>
        <v>46162</v>
      </c>
      <c r="C8" s="10" t="s">
        <v>44</v>
      </c>
      <c r="D8" s="10" t="s">
        <v>32</v>
      </c>
      <c r="E8" s="10"/>
      <c r="F8" s="10" t="s">
        <v>81</v>
      </c>
      <c r="G8" s="10" t="s">
        <v>40</v>
      </c>
      <c r="H8" s="20"/>
    </row>
    <row r="9">
      <c r="A9" s="18">
        <v>7.0</v>
      </c>
      <c r="B9" s="21">
        <f t="shared" si="1"/>
        <v>46169</v>
      </c>
      <c r="C9" s="10" t="s">
        <v>32</v>
      </c>
      <c r="D9" s="10" t="s">
        <v>44</v>
      </c>
      <c r="E9" s="10"/>
      <c r="F9" s="10" t="s">
        <v>82</v>
      </c>
      <c r="G9" s="10" t="s">
        <v>40</v>
      </c>
      <c r="H9" s="22" t="s">
        <v>83</v>
      </c>
    </row>
    <row r="10">
      <c r="A10" s="18">
        <v>8.0</v>
      </c>
      <c r="B10" s="21">
        <f t="shared" si="1"/>
        <v>46176</v>
      </c>
      <c r="C10" s="10" t="s">
        <v>44</v>
      </c>
      <c r="D10" s="10" t="s">
        <v>32</v>
      </c>
      <c r="E10" s="12"/>
      <c r="F10" s="10" t="s">
        <v>56</v>
      </c>
      <c r="G10" s="10" t="s">
        <v>40</v>
      </c>
      <c r="H10" s="20"/>
    </row>
    <row r="11">
      <c r="A11" s="18">
        <v>9.0</v>
      </c>
      <c r="B11" s="21">
        <f t="shared" si="1"/>
        <v>46183</v>
      </c>
      <c r="C11" s="10" t="s">
        <v>32</v>
      </c>
      <c r="D11" s="10" t="s">
        <v>44</v>
      </c>
      <c r="E11" s="12"/>
      <c r="F11" s="10" t="s">
        <v>79</v>
      </c>
      <c r="G11" s="10" t="s">
        <v>40</v>
      </c>
      <c r="H11" s="20"/>
    </row>
    <row r="12">
      <c r="A12" s="18">
        <v>10.0</v>
      </c>
      <c r="B12" s="21">
        <f t="shared" si="1"/>
        <v>46190</v>
      </c>
      <c r="C12" s="10" t="s">
        <v>44</v>
      </c>
      <c r="D12" s="10" t="s">
        <v>32</v>
      </c>
      <c r="E12" s="12"/>
      <c r="F12" s="10" t="s">
        <v>59</v>
      </c>
      <c r="G12" s="10" t="s">
        <v>40</v>
      </c>
      <c r="H12" s="20"/>
    </row>
    <row r="13">
      <c r="A13" s="18">
        <v>11.0</v>
      </c>
      <c r="B13" s="21">
        <f t="shared" si="1"/>
        <v>46197</v>
      </c>
      <c r="C13" s="10" t="s">
        <v>32</v>
      </c>
      <c r="D13" s="10" t="s">
        <v>44</v>
      </c>
      <c r="E13" s="12"/>
      <c r="F13" s="10" t="s">
        <v>28</v>
      </c>
      <c r="G13" s="10" t="s">
        <v>40</v>
      </c>
      <c r="H13" s="20"/>
    </row>
    <row r="14">
      <c r="A14" s="18">
        <v>12.0</v>
      </c>
      <c r="B14" s="21">
        <f t="shared" si="1"/>
        <v>46204</v>
      </c>
      <c r="C14" s="10" t="s">
        <v>44</v>
      </c>
      <c r="D14" s="10" t="s">
        <v>32</v>
      </c>
      <c r="E14" s="12"/>
      <c r="F14" s="10" t="s">
        <v>80</v>
      </c>
      <c r="G14" s="10" t="s">
        <v>40</v>
      </c>
      <c r="H14" s="20"/>
    </row>
    <row r="15">
      <c r="A15" s="18">
        <v>13.0</v>
      </c>
      <c r="B15" s="21">
        <f t="shared" si="1"/>
        <v>46211</v>
      </c>
      <c r="C15" s="10" t="s">
        <v>32</v>
      </c>
      <c r="D15" s="10" t="s">
        <v>44</v>
      </c>
      <c r="E15" s="12"/>
      <c r="F15" s="10" t="s">
        <v>82</v>
      </c>
      <c r="G15" s="10" t="s">
        <v>40</v>
      </c>
      <c r="H15" s="20"/>
    </row>
    <row r="16">
      <c r="A16" s="18">
        <v>14.0</v>
      </c>
      <c r="B16" s="21">
        <f t="shared" si="1"/>
        <v>46218</v>
      </c>
      <c r="C16" s="10" t="s">
        <v>44</v>
      </c>
      <c r="D16" s="10" t="s">
        <v>32</v>
      </c>
      <c r="E16" s="12"/>
      <c r="F16" s="10" t="s">
        <v>81</v>
      </c>
      <c r="G16" s="10" t="s">
        <v>40</v>
      </c>
      <c r="H16" s="22" t="s">
        <v>84</v>
      </c>
    </row>
    <row r="17">
      <c r="A17" s="18">
        <v>15.0</v>
      </c>
      <c r="B17" s="21">
        <f t="shared" si="1"/>
        <v>46225</v>
      </c>
      <c r="C17" s="10" t="s">
        <v>32</v>
      </c>
      <c r="D17" s="10" t="s">
        <v>44</v>
      </c>
      <c r="E17" s="12"/>
      <c r="F17" s="10" t="s">
        <v>56</v>
      </c>
      <c r="G17" s="10" t="s">
        <v>40</v>
      </c>
      <c r="H17" s="22" t="s">
        <v>85</v>
      </c>
    </row>
    <row r="18">
      <c r="A18" s="18"/>
      <c r="B18" s="23"/>
      <c r="C18" s="12"/>
      <c r="D18" s="12"/>
      <c r="E18" s="12"/>
      <c r="F18" s="12"/>
      <c r="G18" s="12"/>
      <c r="H18" s="24"/>
    </row>
    <row r="19">
      <c r="A19" s="22"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2" t="s">
        <v>91</v>
      </c>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28" t="s">
        <v>99</v>
      </c>
    </row>
    <row r="12">
      <c r="A12" s="30"/>
      <c r="B12" s="30"/>
    </row>
    <row r="13">
      <c r="A13" s="31" t="s">
        <v>100</v>
      </c>
      <c r="B13" s="28" t="s">
        <v>101</v>
      </c>
    </row>
    <row r="14">
      <c r="A14" s="30"/>
      <c r="B14" s="30"/>
    </row>
    <row r="15">
      <c r="A15" s="33" t="s">
        <v>102</v>
      </c>
      <c r="B15" s="28" t="s">
        <v>103</v>
      </c>
    </row>
    <row r="16">
      <c r="A16" s="30"/>
      <c r="B16" s="30"/>
    </row>
    <row r="17">
      <c r="A17" s="33" t="s">
        <v>104</v>
      </c>
      <c r="B17" s="28" t="s">
        <v>105</v>
      </c>
    </row>
    <row r="18">
      <c r="A18" s="30"/>
      <c r="B18" s="30"/>
    </row>
    <row r="19">
      <c r="A19" s="31" t="s">
        <v>106</v>
      </c>
      <c r="B19" s="33"/>
    </row>
    <row r="21">
      <c r="A21" s="34" t="s">
        <v>75</v>
      </c>
      <c r="B21" s="35" t="s">
        <v>107</v>
      </c>
    </row>
    <row r="22">
      <c r="A22" s="34" t="s">
        <v>108</v>
      </c>
      <c r="B22" s="35" t="s">
        <v>109</v>
      </c>
    </row>
    <row r="23">
      <c r="A23" s="34" t="s">
        <v>108</v>
      </c>
      <c r="B23" s="35" t="s">
        <v>110</v>
      </c>
    </row>
    <row r="24">
      <c r="A24" s="34" t="s">
        <v>111</v>
      </c>
      <c r="B24" s="35" t="s">
        <v>79</v>
      </c>
    </row>
    <row r="25">
      <c r="A25" s="34" t="s">
        <v>111</v>
      </c>
      <c r="B25" s="35" t="s">
        <v>112</v>
      </c>
    </row>
    <row r="26">
      <c r="A26" s="34" t="s">
        <v>111</v>
      </c>
      <c r="B26" s="35" t="s">
        <v>82</v>
      </c>
    </row>
    <row r="27">
      <c r="A27" s="34" t="s">
        <v>111</v>
      </c>
      <c r="B27" s="35" t="s">
        <v>80</v>
      </c>
    </row>
    <row r="28">
      <c r="A28" s="34" t="s">
        <v>111</v>
      </c>
      <c r="B28" s="35" t="s">
        <v>81</v>
      </c>
    </row>
    <row r="29">
      <c r="A29" s="34" t="s">
        <v>111</v>
      </c>
      <c r="B29" s="35" t="s">
        <v>113</v>
      </c>
    </row>
    <row r="30">
      <c r="A30" s="35" t="s">
        <v>111</v>
      </c>
      <c r="B30" s="35" t="s">
        <v>114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115</v>
      </c>
      <c r="B1" s="36" t="s">
        <v>116</v>
      </c>
    </row>
    <row r="2">
      <c r="A2" s="37"/>
      <c r="B2" s="38"/>
    </row>
    <row r="3">
      <c r="A3" s="39" t="s">
        <v>117</v>
      </c>
      <c r="B3" s="39" t="s">
        <v>118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5.0"/>
  </cols>
  <sheetData>
    <row r="1">
      <c r="A1" s="40" t="s">
        <v>119</v>
      </c>
      <c r="B1" s="40" t="s">
        <v>120</v>
      </c>
    </row>
    <row r="2">
      <c r="A2" s="41" t="s">
        <v>121</v>
      </c>
      <c r="B2" s="2" t="s">
        <v>122</v>
      </c>
    </row>
    <row r="3">
      <c r="A3" s="35" t="s">
        <v>123</v>
      </c>
      <c r="B3" s="35" t="s">
        <v>124</v>
      </c>
    </row>
    <row r="4">
      <c r="A4" s="2" t="s">
        <v>125</v>
      </c>
      <c r="B4" s="2" t="s">
        <v>126</v>
      </c>
    </row>
    <row r="5">
      <c r="A5" s="2" t="s">
        <v>127</v>
      </c>
      <c r="B5" s="2" t="s">
        <v>128</v>
      </c>
    </row>
    <row r="6">
      <c r="A6" s="2" t="s">
        <v>129</v>
      </c>
      <c r="B6" s="35" t="s">
        <v>130</v>
      </c>
    </row>
    <row r="7">
      <c r="A7" s="2" t="s">
        <v>131</v>
      </c>
      <c r="B7" s="35" t="s">
        <v>132</v>
      </c>
    </row>
    <row r="8">
      <c r="A8" s="35" t="s">
        <v>133</v>
      </c>
      <c r="B8" s="35" t="s">
        <v>134</v>
      </c>
    </row>
    <row r="9">
      <c r="A9" s="35" t="s">
        <v>135</v>
      </c>
      <c r="B9" s="35" t="s">
        <v>136</v>
      </c>
    </row>
    <row r="10">
      <c r="A10" s="2" t="s">
        <v>137</v>
      </c>
      <c r="B10" s="2" t="s">
        <v>138</v>
      </c>
    </row>
    <row r="11">
      <c r="A11" s="2" t="s">
        <v>139</v>
      </c>
      <c r="B11" s="2" t="s">
        <v>140</v>
      </c>
    </row>
    <row r="12">
      <c r="A12" s="2" t="s">
        <v>141</v>
      </c>
      <c r="B12" s="2" t="s">
        <v>142</v>
      </c>
    </row>
    <row r="13">
      <c r="A13" s="35" t="s">
        <v>143</v>
      </c>
      <c r="B13" s="2" t="s">
        <v>144</v>
      </c>
    </row>
    <row r="14">
      <c r="A14" s="35" t="s">
        <v>145</v>
      </c>
      <c r="B14" s="2" t="s">
        <v>146</v>
      </c>
    </row>
    <row r="15">
      <c r="A15" s="2" t="s">
        <v>147</v>
      </c>
      <c r="B15" s="2" t="s">
        <v>148</v>
      </c>
    </row>
    <row r="16">
      <c r="A16" s="2" t="s">
        <v>149</v>
      </c>
      <c r="B16" s="2" t="s">
        <v>150</v>
      </c>
    </row>
    <row r="17">
      <c r="A17" s="2" t="s">
        <v>151</v>
      </c>
      <c r="B17" s="2" t="s">
        <v>152</v>
      </c>
    </row>
    <row r="19">
      <c r="A19" s="3"/>
      <c r="B19" s="3"/>
    </row>
    <row r="20">
      <c r="A20" s="3"/>
      <c r="B20" s="3"/>
    </row>
    <row r="21">
      <c r="A21" s="3"/>
      <c r="B21" s="3"/>
    </row>
    <row r="22">
      <c r="A22" s="3"/>
      <c r="B22" s="3"/>
    </row>
    <row r="23">
      <c r="A23" s="3"/>
      <c r="B23" s="3"/>
    </row>
    <row r="24">
      <c r="A24" s="3"/>
      <c r="B24" s="3"/>
    </row>
    <row r="25">
      <c r="A25" s="3"/>
      <c r="B25" s="3"/>
    </row>
    <row r="26">
      <c r="A26" s="3"/>
      <c r="B26" s="3"/>
    </row>
    <row r="27">
      <c r="A27" s="3"/>
      <c r="B27" s="3"/>
    </row>
    <row r="28">
      <c r="A28" s="3"/>
      <c r="B28" s="3"/>
    </row>
    <row r="29">
      <c r="A29" s="3"/>
      <c r="B29" s="3"/>
    </row>
    <row r="30">
      <c r="A30" s="3"/>
      <c r="B3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153</v>
      </c>
      <c r="B1" s="4" t="s">
        <v>154</v>
      </c>
    </row>
    <row r="2">
      <c r="A2" s="43">
        <v>1.0</v>
      </c>
      <c r="B2" s="2" t="s">
        <v>7</v>
      </c>
    </row>
    <row r="3">
      <c r="A3" s="43">
        <f t="shared" ref="A3:A13" si="1">A2+1</f>
        <v>2</v>
      </c>
      <c r="B3" s="2" t="s">
        <v>7</v>
      </c>
    </row>
    <row r="4">
      <c r="A4" s="43">
        <f t="shared" si="1"/>
        <v>3</v>
      </c>
      <c r="B4" s="2" t="s">
        <v>7</v>
      </c>
    </row>
    <row r="5">
      <c r="A5" s="43">
        <f t="shared" si="1"/>
        <v>4</v>
      </c>
      <c r="B5" s="2" t="s">
        <v>155</v>
      </c>
    </row>
    <row r="6">
      <c r="A6" s="43">
        <f t="shared" si="1"/>
        <v>5</v>
      </c>
      <c r="B6" s="35" t="s">
        <v>156</v>
      </c>
    </row>
    <row r="7">
      <c r="A7" s="43">
        <f t="shared" si="1"/>
        <v>6</v>
      </c>
      <c r="B7" s="2" t="s">
        <v>157</v>
      </c>
    </row>
    <row r="8">
      <c r="A8" s="43">
        <f t="shared" si="1"/>
        <v>7</v>
      </c>
      <c r="B8" s="2" t="s">
        <v>158</v>
      </c>
    </row>
    <row r="9">
      <c r="A9" s="43">
        <f t="shared" si="1"/>
        <v>8</v>
      </c>
      <c r="B9" s="44" t="s">
        <v>159</v>
      </c>
    </row>
    <row r="10">
      <c r="A10" s="43">
        <f t="shared" si="1"/>
        <v>9</v>
      </c>
      <c r="B10" s="45" t="s">
        <v>160</v>
      </c>
    </row>
    <row r="11">
      <c r="A11" s="43">
        <f t="shared" si="1"/>
        <v>10</v>
      </c>
      <c r="B11" s="46" t="s">
        <v>161</v>
      </c>
    </row>
    <row r="12">
      <c r="A12" s="43">
        <f t="shared" si="1"/>
        <v>11</v>
      </c>
      <c r="B12" s="45" t="s">
        <v>162</v>
      </c>
    </row>
    <row r="13">
      <c r="A13" s="43">
        <f t="shared" si="1"/>
        <v>12</v>
      </c>
      <c r="B13" s="45" t="s">
        <v>163</v>
      </c>
    </row>
    <row r="14">
      <c r="A14" s="43">
        <v>13.0</v>
      </c>
      <c r="B14" s="2" t="s">
        <v>164</v>
      </c>
    </row>
    <row r="15">
      <c r="A15" s="43"/>
      <c r="B15" s="3"/>
    </row>
    <row r="16">
      <c r="A16" s="43"/>
      <c r="B16" s="3"/>
    </row>
    <row r="17">
      <c r="A17" s="43"/>
      <c r="B17" s="3"/>
    </row>
    <row r="18">
      <c r="A18" s="43"/>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2.63"/>
    <col customWidth="1" min="3" max="3" width="62.63"/>
    <col customWidth="1" min="4" max="7" width="15.75"/>
  </cols>
  <sheetData>
    <row r="1">
      <c r="A1" s="48" t="s">
        <v>165</v>
      </c>
      <c r="B1" s="49" t="s">
        <v>166</v>
      </c>
      <c r="C1" s="50" t="s">
        <v>167</v>
      </c>
      <c r="D1" s="51" t="s">
        <v>168</v>
      </c>
      <c r="E1" s="51" t="s">
        <v>169</v>
      </c>
      <c r="F1" s="51" t="s">
        <v>170</v>
      </c>
      <c r="G1" s="51" t="s">
        <v>171</v>
      </c>
    </row>
    <row r="2">
      <c r="A2" s="52"/>
      <c r="B2" s="53"/>
      <c r="C2" s="54"/>
      <c r="D2" s="54"/>
      <c r="E2" s="54"/>
      <c r="F2" s="54"/>
      <c r="G2" s="54"/>
    </row>
    <row r="3">
      <c r="A3" s="55" t="s">
        <v>172</v>
      </c>
      <c r="B3" s="56"/>
      <c r="C3" s="57"/>
      <c r="D3" s="57"/>
      <c r="E3" s="57"/>
      <c r="F3" s="57"/>
      <c r="G3" s="57"/>
    </row>
    <row r="4">
      <c r="A4" s="52"/>
      <c r="B4" s="53"/>
      <c r="C4" s="54"/>
      <c r="D4" s="54"/>
      <c r="E4" s="54"/>
      <c r="F4" s="54"/>
      <c r="G4" s="54"/>
    </row>
    <row r="5">
      <c r="A5" s="58" t="s">
        <v>173</v>
      </c>
      <c r="B5" s="59"/>
      <c r="C5" s="30"/>
      <c r="D5" s="60">
        <f>SUM(D8:D14)</f>
        <v>120</v>
      </c>
      <c r="E5" s="60">
        <f>D5</f>
        <v>120</v>
      </c>
      <c r="F5" s="30"/>
      <c r="G5" s="30"/>
    </row>
    <row r="6">
      <c r="A6" s="52"/>
      <c r="B6" s="53"/>
      <c r="C6" s="54"/>
      <c r="D6" s="54"/>
      <c r="E6" s="54"/>
      <c r="F6" s="54"/>
      <c r="G6" s="54"/>
    </row>
    <row r="7">
      <c r="A7" s="61" t="s">
        <v>174</v>
      </c>
      <c r="B7" s="62"/>
      <c r="C7" s="63"/>
      <c r="D7" s="63"/>
      <c r="E7" s="63"/>
      <c r="F7" s="63"/>
      <c r="G7" s="63"/>
    </row>
    <row r="8">
      <c r="A8" s="64" t="s">
        <v>174</v>
      </c>
      <c r="B8" s="53"/>
      <c r="C8" s="54"/>
      <c r="D8" s="54"/>
      <c r="E8" s="65" t="s">
        <v>169</v>
      </c>
      <c r="F8" s="54"/>
      <c r="G8" s="65" t="s">
        <v>171</v>
      </c>
    </row>
    <row r="9">
      <c r="A9" s="66">
        <v>1.0</v>
      </c>
      <c r="B9" s="58"/>
      <c r="C9" s="30"/>
      <c r="D9" s="60">
        <f>SUM(D18:D22)</f>
        <v>1</v>
      </c>
      <c r="E9" s="60">
        <f>$D$5</f>
        <v>120</v>
      </c>
      <c r="F9" s="60">
        <f>SUM(F18)</f>
        <v>1</v>
      </c>
      <c r="G9" s="60">
        <f>$D$5</f>
        <v>120</v>
      </c>
    </row>
    <row r="10">
      <c r="A10" s="52">
        <f t="shared" ref="A10:A11" si="1">A9+1</f>
        <v>2</v>
      </c>
      <c r="B10" s="53"/>
      <c r="C10" s="54"/>
      <c r="D10" s="67">
        <f>SUM(D24:D27)</f>
        <v>16</v>
      </c>
      <c r="E10" s="67">
        <f t="shared" ref="E10:E14" si="2">E9-D9</f>
        <v>119</v>
      </c>
      <c r="F10" s="67">
        <f>SUM(F24:F27)</f>
        <v>12</v>
      </c>
      <c r="G10" s="67">
        <f t="shared" ref="G10:G14" si="3">G9-F9</f>
        <v>119</v>
      </c>
    </row>
    <row r="11">
      <c r="A11" s="66">
        <f t="shared" si="1"/>
        <v>3</v>
      </c>
      <c r="B11" s="58"/>
      <c r="C11" s="30"/>
      <c r="D11" s="60">
        <f>sum(D30:D35)</f>
        <v>19</v>
      </c>
      <c r="E11" s="60">
        <f t="shared" si="2"/>
        <v>103</v>
      </c>
      <c r="F11" s="60">
        <f>SUM(F30:F34)</f>
        <v>18</v>
      </c>
      <c r="G11" s="60">
        <f t="shared" si="3"/>
        <v>107</v>
      </c>
    </row>
    <row r="12">
      <c r="A12" s="68">
        <v>4.0</v>
      </c>
      <c r="B12" s="69"/>
      <c r="C12" s="54"/>
      <c r="D12" s="28">
        <f>SUM(D36:D41)</f>
        <v>30</v>
      </c>
      <c r="E12" s="67">
        <f t="shared" si="2"/>
        <v>84</v>
      </c>
      <c r="F12" s="54">
        <f>SUM(F36:F41)</f>
        <v>36</v>
      </c>
      <c r="G12" s="67">
        <f t="shared" si="3"/>
        <v>89</v>
      </c>
    </row>
    <row r="13">
      <c r="A13" s="70">
        <v>5.0</v>
      </c>
      <c r="B13" s="58"/>
      <c r="C13" s="30"/>
      <c r="D13" s="30">
        <f>SUM(D43:D49)</f>
        <v>29</v>
      </c>
      <c r="E13" s="30">
        <f t="shared" si="2"/>
        <v>54</v>
      </c>
      <c r="F13" s="30">
        <f>SUM(F43:F49)</f>
        <v>28</v>
      </c>
      <c r="G13" s="30">
        <f t="shared" si="3"/>
        <v>53</v>
      </c>
    </row>
    <row r="14">
      <c r="A14" s="71">
        <v>6.0</v>
      </c>
      <c r="D14">
        <f>SUM(D51:D59)</f>
        <v>25</v>
      </c>
      <c r="E14" s="67">
        <f t="shared" si="2"/>
        <v>25</v>
      </c>
      <c r="F14">
        <f>SUM(F51:F59)</f>
        <v>21</v>
      </c>
      <c r="G14" s="67">
        <f t="shared" si="3"/>
        <v>25</v>
      </c>
    </row>
    <row r="15">
      <c r="A15" s="71"/>
      <c r="B15" s="58"/>
      <c r="C15" s="58"/>
      <c r="D15" s="58"/>
      <c r="E15" s="58"/>
      <c r="F15" s="58"/>
      <c r="G15" s="72"/>
    </row>
    <row r="16">
      <c r="A16" s="73" t="s">
        <v>175</v>
      </c>
      <c r="B16" s="74"/>
      <c r="C16" s="75"/>
      <c r="D16" s="75"/>
      <c r="E16" s="75"/>
      <c r="F16" s="75"/>
      <c r="G16" s="75"/>
    </row>
    <row r="17">
      <c r="A17" s="66"/>
      <c r="B17" s="58"/>
      <c r="C17" s="30"/>
      <c r="D17" s="30"/>
      <c r="E17" s="30"/>
      <c r="F17" s="30"/>
      <c r="G17" s="30"/>
    </row>
    <row r="18">
      <c r="A18" s="76">
        <f>A9</f>
        <v>1</v>
      </c>
      <c r="B18" s="77" t="s">
        <v>7</v>
      </c>
      <c r="C18" s="28" t="s">
        <v>176</v>
      </c>
      <c r="D18" s="28">
        <v>1.0</v>
      </c>
      <c r="E18" s="28"/>
      <c r="F18" s="28">
        <v>1.0</v>
      </c>
      <c r="G18" s="54"/>
    </row>
    <row r="19">
      <c r="A19" s="66"/>
      <c r="B19" s="78"/>
      <c r="C19" s="30"/>
      <c r="D19" s="30"/>
      <c r="E19" s="30"/>
      <c r="F19" s="30"/>
      <c r="G19" s="30"/>
    </row>
    <row r="20">
      <c r="A20" s="52"/>
      <c r="B20" s="53"/>
      <c r="C20" s="69"/>
      <c r="D20" s="79"/>
      <c r="E20" s="53"/>
      <c r="F20" s="79"/>
      <c r="G20" s="53"/>
    </row>
    <row r="21">
      <c r="A21" s="66"/>
      <c r="B21" s="78"/>
      <c r="C21" s="30"/>
      <c r="D21" s="60"/>
      <c r="E21" s="30"/>
      <c r="F21" s="30"/>
      <c r="G21" s="30"/>
    </row>
    <row r="22">
      <c r="A22" s="80"/>
      <c r="B22" s="69"/>
      <c r="C22" s="69"/>
      <c r="D22" s="67"/>
      <c r="E22" s="69"/>
      <c r="F22" s="69"/>
      <c r="G22" s="69"/>
    </row>
    <row r="23">
      <c r="A23" s="66"/>
      <c r="B23" s="78"/>
      <c r="C23" s="30"/>
      <c r="D23" s="60"/>
      <c r="E23" s="30"/>
      <c r="F23" s="30"/>
      <c r="G23" s="30"/>
    </row>
    <row r="24">
      <c r="A24" s="76">
        <f>A10</f>
        <v>2</v>
      </c>
      <c r="B24" s="77" t="s">
        <v>7</v>
      </c>
      <c r="C24" s="28" t="s">
        <v>177</v>
      </c>
      <c r="D24" s="67">
        <v>3.0</v>
      </c>
      <c r="E24" s="69"/>
      <c r="F24" s="69">
        <v>2.0</v>
      </c>
      <c r="G24" s="54"/>
    </row>
    <row r="25">
      <c r="A25" s="66"/>
      <c r="B25" s="78"/>
      <c r="C25" s="30" t="s">
        <v>178</v>
      </c>
      <c r="D25" s="60">
        <v>5.0</v>
      </c>
      <c r="E25" s="30"/>
      <c r="F25" s="30">
        <v>5.0</v>
      </c>
      <c r="G25" s="30"/>
    </row>
    <row r="26">
      <c r="A26" s="80"/>
      <c r="B26" s="69"/>
      <c r="C26" s="81" t="s">
        <v>179</v>
      </c>
      <c r="D26" s="67">
        <v>5.0</v>
      </c>
      <c r="E26" s="69"/>
      <c r="F26" s="69">
        <v>5.0</v>
      </c>
      <c r="G26" s="69"/>
    </row>
    <row r="27">
      <c r="A27" s="66"/>
      <c r="B27" s="78"/>
      <c r="C27" s="30" t="s">
        <v>180</v>
      </c>
      <c r="D27" s="60">
        <v>3.0</v>
      </c>
      <c r="E27" s="30"/>
      <c r="F27" s="82" t="s">
        <v>181</v>
      </c>
      <c r="G27" s="30"/>
    </row>
    <row r="28">
      <c r="A28" s="80"/>
      <c r="B28" s="69"/>
      <c r="C28" s="69"/>
      <c r="D28" s="67"/>
      <c r="E28" s="69"/>
      <c r="F28" s="69"/>
      <c r="G28" s="69"/>
    </row>
    <row r="29">
      <c r="A29" s="66"/>
      <c r="B29" s="78"/>
      <c r="C29" s="30"/>
      <c r="D29" s="60"/>
      <c r="E29" s="30"/>
      <c r="F29" s="30"/>
      <c r="G29" s="30"/>
    </row>
    <row r="30">
      <c r="A30" s="76">
        <f>A11</f>
        <v>3</v>
      </c>
      <c r="B30" s="77" t="s">
        <v>7</v>
      </c>
      <c r="C30" s="69" t="s">
        <v>180</v>
      </c>
      <c r="D30" s="67">
        <v>3.0</v>
      </c>
      <c r="E30" s="69"/>
      <c r="F30" s="69">
        <v>3.0</v>
      </c>
      <c r="G30" s="54"/>
    </row>
    <row r="31">
      <c r="A31" s="66"/>
      <c r="B31" s="83"/>
      <c r="C31" s="30" t="s">
        <v>182</v>
      </c>
      <c r="D31" s="60">
        <v>5.0</v>
      </c>
      <c r="E31" s="30"/>
      <c r="F31" s="30">
        <v>5.0</v>
      </c>
      <c r="G31" s="30"/>
    </row>
    <row r="32">
      <c r="A32" s="80"/>
      <c r="B32" s="84"/>
      <c r="C32" s="69" t="s">
        <v>183</v>
      </c>
      <c r="D32" s="67">
        <v>3.0</v>
      </c>
      <c r="E32" s="69"/>
      <c r="F32" s="69">
        <v>3.0</v>
      </c>
      <c r="G32" s="69"/>
    </row>
    <row r="33">
      <c r="A33" s="66"/>
      <c r="B33" s="83"/>
      <c r="C33" s="30" t="s">
        <v>184</v>
      </c>
      <c r="D33" s="60">
        <v>3.0</v>
      </c>
      <c r="E33" s="30"/>
      <c r="F33" s="30">
        <v>2.0</v>
      </c>
      <c r="G33" s="30"/>
    </row>
    <row r="34">
      <c r="A34" s="80"/>
      <c r="B34" s="84"/>
      <c r="C34" s="69" t="s">
        <v>185</v>
      </c>
      <c r="D34" s="67">
        <v>5.0</v>
      </c>
      <c r="E34" s="69"/>
      <c r="F34" s="69">
        <v>5.0</v>
      </c>
      <c r="G34" s="69"/>
    </row>
    <row r="35">
      <c r="A35" s="66"/>
      <c r="B35" s="83"/>
      <c r="C35" s="30"/>
      <c r="D35" s="60"/>
      <c r="E35" s="30"/>
      <c r="F35" s="30"/>
      <c r="G35" s="30"/>
    </row>
    <row r="36">
      <c r="A36" s="68">
        <v>4.0</v>
      </c>
      <c r="B36" s="77" t="str">
        <f>'Sprint Goals'!B5</f>
        <v>Optional</v>
      </c>
      <c r="C36" s="69" t="s">
        <v>186</v>
      </c>
      <c r="D36" s="67">
        <v>5.0</v>
      </c>
      <c r="E36" s="69"/>
      <c r="F36" s="81">
        <v>8.0</v>
      </c>
      <c r="G36" s="69"/>
    </row>
    <row r="37">
      <c r="A37" s="66"/>
      <c r="B37" s="83"/>
      <c r="C37" s="30" t="s">
        <v>187</v>
      </c>
      <c r="D37" s="60">
        <v>5.0</v>
      </c>
      <c r="E37" s="30"/>
      <c r="F37" s="32">
        <v>5.0</v>
      </c>
      <c r="G37" s="30"/>
    </row>
    <row r="38">
      <c r="A38" s="80"/>
      <c r="B38" s="84"/>
      <c r="C38" s="69" t="s">
        <v>188</v>
      </c>
      <c r="D38" s="67">
        <v>5.0</v>
      </c>
      <c r="E38" s="69"/>
      <c r="F38" s="81">
        <v>5.0</v>
      </c>
      <c r="G38" s="69"/>
    </row>
    <row r="39">
      <c r="A39" s="66"/>
      <c r="B39" s="83"/>
      <c r="C39" s="30" t="s">
        <v>189</v>
      </c>
      <c r="D39" s="60">
        <v>5.0</v>
      </c>
      <c r="E39" s="30"/>
      <c r="F39" s="32">
        <v>5.0</v>
      </c>
      <c r="G39" s="30"/>
    </row>
    <row r="40">
      <c r="A40" s="80"/>
      <c r="B40" s="84"/>
      <c r="C40" s="69" t="s">
        <v>190</v>
      </c>
      <c r="D40" s="67">
        <v>5.0</v>
      </c>
      <c r="E40" s="69"/>
      <c r="F40" s="81">
        <v>5.0</v>
      </c>
      <c r="G40" s="69"/>
    </row>
    <row r="41">
      <c r="A41" s="66"/>
      <c r="B41" s="83"/>
      <c r="C41" s="30" t="s">
        <v>191</v>
      </c>
      <c r="D41" s="60">
        <v>5.0</v>
      </c>
      <c r="E41" s="30"/>
      <c r="F41" s="32">
        <v>8.0</v>
      </c>
      <c r="G41" s="30"/>
    </row>
    <row r="42">
      <c r="A42" s="69"/>
      <c r="B42" s="69"/>
      <c r="C42" s="69"/>
      <c r="D42" s="67"/>
      <c r="E42" s="69"/>
      <c r="F42" s="69"/>
      <c r="G42" s="69"/>
    </row>
    <row r="43">
      <c r="A43" s="66">
        <v>5.0</v>
      </c>
      <c r="B43" s="85" t="str">
        <f>'Sprint Goals'!B6</f>
        <v>Persistent Single-Prompt Agent Prototype</v>
      </c>
      <c r="C43" s="32" t="s">
        <v>192</v>
      </c>
      <c r="D43" s="86">
        <v>2.0</v>
      </c>
      <c r="E43" s="30"/>
      <c r="F43" s="32">
        <v>3.0</v>
      </c>
      <c r="G43" s="30"/>
    </row>
    <row r="44">
      <c r="A44" s="80"/>
      <c r="B44" s="84"/>
      <c r="C44" s="81" t="s">
        <v>193</v>
      </c>
      <c r="D44" s="87">
        <v>5.0</v>
      </c>
      <c r="E44" s="69"/>
      <c r="F44" s="87" t="s">
        <v>181</v>
      </c>
      <c r="G44" s="69"/>
    </row>
    <row r="45">
      <c r="A45" s="66"/>
      <c r="B45" s="83"/>
      <c r="C45" s="32" t="s">
        <v>194</v>
      </c>
      <c r="D45" s="86">
        <v>3.0</v>
      </c>
      <c r="E45" s="30"/>
      <c r="F45" s="32">
        <v>3.0</v>
      </c>
      <c r="G45" s="30"/>
    </row>
    <row r="46">
      <c r="A46" s="80"/>
      <c r="B46" s="84"/>
      <c r="C46" s="81" t="s">
        <v>195</v>
      </c>
      <c r="D46" s="87">
        <v>3.0</v>
      </c>
      <c r="E46" s="69"/>
      <c r="F46" s="81">
        <v>3.0</v>
      </c>
      <c r="G46" s="69"/>
    </row>
    <row r="47">
      <c r="A47" s="66"/>
      <c r="B47" s="83"/>
      <c r="C47" s="32" t="s">
        <v>196</v>
      </c>
      <c r="D47" s="86">
        <v>3.0</v>
      </c>
      <c r="E47" s="30"/>
      <c r="F47" s="32">
        <v>3.0</v>
      </c>
      <c r="G47" s="30"/>
    </row>
    <row r="48">
      <c r="A48" s="80"/>
      <c r="B48" s="84"/>
      <c r="C48" s="81" t="s">
        <v>197</v>
      </c>
      <c r="D48" s="87">
        <v>8.0</v>
      </c>
      <c r="E48" s="69"/>
      <c r="F48" s="81">
        <v>8.0</v>
      </c>
      <c r="G48" s="69"/>
    </row>
    <row r="49">
      <c r="A49" s="88"/>
      <c r="B49" s="83"/>
      <c r="C49" s="32" t="s">
        <v>198</v>
      </c>
      <c r="D49" s="86">
        <v>5.0</v>
      </c>
      <c r="E49" s="30"/>
      <c r="F49" s="32">
        <v>8.0</v>
      </c>
      <c r="G49" s="30"/>
    </row>
    <row r="50">
      <c r="A50" s="80"/>
      <c r="B50" s="84"/>
      <c r="C50" s="69"/>
      <c r="D50" s="67"/>
      <c r="E50" s="69"/>
      <c r="F50" s="69"/>
      <c r="G50" s="69"/>
    </row>
    <row r="51">
      <c r="A51" s="70">
        <v>6.0</v>
      </c>
      <c r="B51" s="83" t="str">
        <f>'Sprint Goals'!B7</f>
        <v>Cloud Deployment/Migration &amp; System Robustness </v>
      </c>
      <c r="C51" s="32" t="s">
        <v>193</v>
      </c>
      <c r="D51" s="86">
        <v>5.0</v>
      </c>
      <c r="E51" s="30"/>
      <c r="F51" s="82" t="s">
        <v>181</v>
      </c>
      <c r="G51" s="30"/>
    </row>
    <row r="52">
      <c r="A52" s="80"/>
      <c r="B52" s="84"/>
      <c r="C52" s="81" t="s">
        <v>199</v>
      </c>
      <c r="D52" s="87">
        <v>2.0</v>
      </c>
      <c r="E52" s="69"/>
      <c r="F52" s="87">
        <v>3.0</v>
      </c>
      <c r="G52" s="69"/>
    </row>
    <row r="53">
      <c r="A53" s="66"/>
      <c r="B53" s="83"/>
      <c r="C53" s="32" t="s">
        <v>200</v>
      </c>
      <c r="D53" s="86">
        <v>5.0</v>
      </c>
      <c r="E53" s="30"/>
      <c r="F53" s="82">
        <v>5.0</v>
      </c>
      <c r="G53" s="30"/>
    </row>
    <row r="54">
      <c r="A54" s="80"/>
      <c r="B54" s="84"/>
      <c r="C54" s="81" t="s">
        <v>201</v>
      </c>
      <c r="D54" s="87">
        <v>8.0</v>
      </c>
      <c r="E54" s="69"/>
      <c r="F54" s="87">
        <v>8.0</v>
      </c>
      <c r="G54" s="69"/>
    </row>
    <row r="55">
      <c r="A55" s="66"/>
      <c r="B55" s="83"/>
      <c r="C55" s="32" t="s">
        <v>202</v>
      </c>
      <c r="D55" s="86">
        <v>5.0</v>
      </c>
      <c r="E55" s="30"/>
      <c r="F55" s="82">
        <v>5.0</v>
      </c>
      <c r="G55" s="30"/>
    </row>
    <row r="56">
      <c r="A56" s="80"/>
      <c r="B56" s="84"/>
      <c r="C56" s="69"/>
      <c r="D56" s="67"/>
      <c r="E56" s="69"/>
      <c r="F56" s="69"/>
      <c r="G56" s="69"/>
    </row>
    <row r="57">
      <c r="A57" s="66"/>
      <c r="B57" s="83"/>
      <c r="C57" s="30"/>
      <c r="D57" s="60"/>
      <c r="E57" s="30"/>
      <c r="F57" s="30"/>
      <c r="G57" s="30"/>
    </row>
    <row r="58">
      <c r="A58" s="80"/>
      <c r="B58" s="84"/>
      <c r="C58" s="69"/>
      <c r="D58" s="67"/>
      <c r="E58" s="69"/>
      <c r="F58" s="69"/>
      <c r="G58" s="69"/>
    </row>
    <row r="59">
      <c r="A59" s="66"/>
      <c r="B59" s="83"/>
      <c r="C59" s="30"/>
      <c r="D59" s="60"/>
      <c r="E59" s="30"/>
      <c r="F59" s="30"/>
      <c r="G59" s="30"/>
    </row>
    <row r="60">
      <c r="A60" s="80"/>
      <c r="B60" s="84"/>
      <c r="C60" s="69"/>
      <c r="D60" s="67"/>
      <c r="E60" s="69"/>
      <c r="F60" s="69"/>
      <c r="G60" s="69"/>
    </row>
    <row r="61">
      <c r="A61" s="66"/>
      <c r="B61" s="83"/>
      <c r="C61" s="30"/>
      <c r="D61" s="60"/>
      <c r="E61" s="30"/>
      <c r="F61" s="30"/>
      <c r="G61" s="30"/>
    </row>
    <row r="62">
      <c r="A62" s="80"/>
      <c r="B62" s="84"/>
      <c r="C62" s="69"/>
      <c r="D62" s="67"/>
      <c r="E62" s="69"/>
      <c r="F62" s="69"/>
      <c r="G62" s="69"/>
    </row>
    <row r="63">
      <c r="A63" s="66"/>
      <c r="B63" s="83"/>
      <c r="C63" s="30"/>
      <c r="D63" s="60"/>
      <c r="E63" s="30"/>
      <c r="F63" s="30"/>
      <c r="G63" s="30"/>
    </row>
    <row r="64">
      <c r="A64" s="80"/>
      <c r="B64" s="84"/>
      <c r="C64" s="69"/>
      <c r="D64" s="67"/>
      <c r="E64" s="69"/>
      <c r="F64" s="69"/>
      <c r="G64" s="69"/>
    </row>
    <row r="65">
      <c r="A65" s="66"/>
      <c r="B65" s="78"/>
      <c r="C65" s="89" t="s">
        <v>203</v>
      </c>
      <c r="D65" s="60"/>
      <c r="E65" s="30"/>
      <c r="F65" s="30"/>
      <c r="G65" s="30"/>
    </row>
    <row r="66">
      <c r="A66" s="80"/>
      <c r="B66" s="69"/>
      <c r="C66" s="54"/>
      <c r="D66" s="54"/>
      <c r="E66" s="54"/>
      <c r="F66" s="54"/>
      <c r="G66" s="5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76.63"/>
    <col customWidth="1" min="3" max="3" width="80.5"/>
  </cols>
  <sheetData>
    <row r="1">
      <c r="A1" s="42" t="s">
        <v>153</v>
      </c>
      <c r="B1" s="4" t="s">
        <v>204</v>
      </c>
      <c r="C1" s="4" t="s">
        <v>205</v>
      </c>
    </row>
    <row r="2">
      <c r="A2" s="43">
        <v>1.0</v>
      </c>
      <c r="B2" s="43">
        <f>'Mid-Project Release plan'!F9</f>
        <v>1</v>
      </c>
      <c r="C2" s="43">
        <f t="array" ref="C2:C7">'Mid-Project Release plan'!D9:D14</f>
        <v>1</v>
      </c>
    </row>
    <row r="3">
      <c r="A3" s="43">
        <f t="shared" ref="A3:A15" si="1">A2+1</f>
        <v>2</v>
      </c>
      <c r="B3" s="43">
        <f>'Mid-Project Release plan'!F10</f>
        <v>12</v>
      </c>
      <c r="C3" s="43">
        <v>16.0</v>
      </c>
    </row>
    <row r="4">
      <c r="A4" s="43">
        <f t="shared" si="1"/>
        <v>3</v>
      </c>
      <c r="B4" s="43">
        <f>'Mid-Project Release plan'!F11</f>
        <v>18</v>
      </c>
      <c r="C4" s="43">
        <v>19.0</v>
      </c>
    </row>
    <row r="5">
      <c r="A5" s="43">
        <f t="shared" si="1"/>
        <v>4</v>
      </c>
      <c r="B5" s="43">
        <f>'Mid-Project Release plan'!F12</f>
        <v>36</v>
      </c>
      <c r="C5" s="43">
        <v>30.0</v>
      </c>
    </row>
    <row r="6">
      <c r="A6" s="43">
        <f t="shared" si="1"/>
        <v>5</v>
      </c>
      <c r="B6" s="43">
        <f>IF('Mid-Project Release plan'!F13=0, "", 'Mid-Project Release plan'!F13)</f>
        <v>28</v>
      </c>
      <c r="C6" s="43">
        <v>29.0</v>
      </c>
    </row>
    <row r="7">
      <c r="A7" s="43">
        <f t="shared" si="1"/>
        <v>6</v>
      </c>
      <c r="B7" s="43">
        <f>IF('Mid-Project Release plan'!F14=0, "", 'Mid-Project Release plan'!F14)</f>
        <v>21</v>
      </c>
      <c r="C7" s="43">
        <v>25.0</v>
      </c>
    </row>
    <row r="8">
      <c r="A8" s="43">
        <f t="shared" si="1"/>
        <v>7</v>
      </c>
      <c r="B8" s="43">
        <f>IF('Final Project Release plan'!F9=0, "", 'Final Project Release plan'!F9)</f>
        <v>30</v>
      </c>
      <c r="C8" s="43">
        <f>IF('Final Project Release plan'!D9=0, "", 'Final Project Release plan'!D9)</f>
        <v>30</v>
      </c>
    </row>
    <row r="9">
      <c r="A9" s="43">
        <f t="shared" si="1"/>
        <v>8</v>
      </c>
      <c r="B9" s="43">
        <f>IF('Final Project Release plan'!F10=0, "", 'Final Project Release plan'!F10)</f>
        <v>18</v>
      </c>
      <c r="C9" s="43">
        <f>IF(OR('Final Project Release plan'!D10=0, B8=""), "", 'Final Project Release plan'!D10)</f>
        <v>24</v>
      </c>
    </row>
    <row r="10">
      <c r="A10" s="43">
        <f t="shared" si="1"/>
        <v>9</v>
      </c>
      <c r="B10" s="43">
        <f>IF('Final Project Release plan'!F11=0, "", 'Final Project Release plan'!F11)</f>
        <v>40</v>
      </c>
      <c r="C10" s="43">
        <f>IF(OR('Final Project Release plan'!D11=0, B9=""), "", 'Final Project Release plan'!D11)</f>
        <v>29</v>
      </c>
    </row>
    <row r="11">
      <c r="A11" s="43">
        <f t="shared" si="1"/>
        <v>10</v>
      </c>
      <c r="B11" s="43" t="str">
        <f>IF('Final Project Release plan'!F12=0, "", 'Final Project Release plan'!F12)</f>
        <v/>
      </c>
      <c r="C11" s="43">
        <f>IF(OR('Final Project Release plan'!D12=0, B10=""), "", 'Final Project Release plan'!D12)</f>
        <v>31</v>
      </c>
    </row>
    <row r="12">
      <c r="A12" s="43">
        <f t="shared" si="1"/>
        <v>11</v>
      </c>
      <c r="B12" s="43" t="str">
        <f>IF('Final Project Release plan'!F13=0, "", 'Final Project Release plan'!F13)</f>
        <v/>
      </c>
      <c r="C12" s="43" t="str">
        <f>IF(OR('Final Project Release plan'!D13=0, B11=""), "", 'Final Project Release plan'!D13)</f>
        <v/>
      </c>
    </row>
    <row r="13">
      <c r="A13" s="43">
        <f t="shared" si="1"/>
        <v>12</v>
      </c>
      <c r="B13" s="43" t="str">
        <f>IF('Final Project Release plan'!F14=0, "", 'Final Project Release plan'!F14)</f>
        <v/>
      </c>
      <c r="C13" s="43" t="str">
        <f>IF(OR('Final Project Release plan'!D14=0, B12=""), "", 'Final Project Release plan'!D14)</f>
        <v/>
      </c>
    </row>
    <row r="14">
      <c r="A14" s="43">
        <f t="shared" si="1"/>
        <v>13</v>
      </c>
      <c r="B14" s="43" t="str">
        <f>IF('Final Project Release plan'!F15=0, "", 'Final Project Release plan'!F15)</f>
        <v/>
      </c>
      <c r="C14" s="43" t="str">
        <f>IF(OR('Final Project Release plan'!D15=0, B13=""), "", 'Final Project Release plan'!D15)</f>
        <v/>
      </c>
    </row>
    <row r="15">
      <c r="A15" s="43">
        <f t="shared" si="1"/>
        <v>14</v>
      </c>
      <c r="B15" s="43" t="str">
        <f>IF('Final Project Release plan'!F16=0, "", 'Final Project Release plan'!F16)</f>
        <v/>
      </c>
      <c r="C15" s="43" t="str">
        <f>IF(OR('Final Project Release plan'!D16=0, B14=""), "", 'Final Project Release plan'!D16)</f>
        <v/>
      </c>
    </row>
    <row r="16">
      <c r="A16" s="43"/>
      <c r="B16" s="43" t="str">
        <f>IF('Final Project Release plan'!F17=0, "", 'Final Project Release plan'!F17)</f>
        <v/>
      </c>
      <c r="C16" s="43"/>
    </row>
    <row r="17">
      <c r="A17" s="43"/>
      <c r="B17" s="47"/>
      <c r="C17" s="47"/>
    </row>
    <row r="18">
      <c r="A18" s="43"/>
      <c r="B18" s="90" t="s">
        <v>206</v>
      </c>
      <c r="C18" s="90"/>
    </row>
    <row r="19">
      <c r="A19" s="47"/>
      <c r="B19" s="47"/>
      <c r="C19" s="47"/>
    </row>
    <row r="20">
      <c r="A20" s="43"/>
      <c r="B20" s="47"/>
      <c r="C20" s="47"/>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5.0"/>
    <col customWidth="1" min="3" max="3" width="65.38"/>
    <col customWidth="1" min="4" max="7" width="15.75"/>
  </cols>
  <sheetData>
    <row r="1">
      <c r="A1" s="48" t="s">
        <v>165</v>
      </c>
      <c r="B1" s="91" t="s">
        <v>166</v>
      </c>
      <c r="C1" s="50" t="s">
        <v>167</v>
      </c>
      <c r="D1" s="51" t="s">
        <v>168</v>
      </c>
      <c r="E1" s="51" t="s">
        <v>169</v>
      </c>
      <c r="F1" s="51" t="s">
        <v>170</v>
      </c>
      <c r="G1" s="51" t="s">
        <v>171</v>
      </c>
    </row>
    <row r="2">
      <c r="A2" s="52"/>
      <c r="B2" s="54"/>
      <c r="C2" s="54"/>
      <c r="D2" s="54"/>
      <c r="E2" s="54"/>
      <c r="F2" s="54"/>
      <c r="G2" s="54"/>
    </row>
    <row r="3">
      <c r="A3" s="55" t="s">
        <v>172</v>
      </c>
      <c r="B3" s="57"/>
      <c r="C3" s="57"/>
      <c r="D3" s="57"/>
      <c r="E3" s="57"/>
      <c r="F3" s="57"/>
      <c r="G3" s="57"/>
    </row>
    <row r="4">
      <c r="A4" s="52"/>
      <c r="B4" s="54"/>
      <c r="C4" s="54"/>
      <c r="D4" s="54"/>
      <c r="E4" s="54"/>
      <c r="F4" s="54"/>
      <c r="G4" s="54"/>
    </row>
    <row r="5">
      <c r="A5" s="58" t="s">
        <v>173</v>
      </c>
      <c r="B5" s="30"/>
      <c r="C5" s="30"/>
      <c r="D5" s="60">
        <f>sum(D8:D15)</f>
        <v>179</v>
      </c>
      <c r="E5" s="60">
        <f>D5</f>
        <v>179</v>
      </c>
      <c r="F5" s="30"/>
      <c r="G5" s="30"/>
    </row>
    <row r="6">
      <c r="A6" s="52"/>
      <c r="B6" s="54"/>
      <c r="C6" s="54"/>
      <c r="D6" s="54"/>
      <c r="E6" s="54"/>
      <c r="F6" s="54"/>
      <c r="G6" s="54"/>
    </row>
    <row r="7">
      <c r="A7" s="61" t="s">
        <v>174</v>
      </c>
      <c r="B7" s="92"/>
      <c r="C7" s="63"/>
      <c r="D7" s="63"/>
      <c r="E7" s="63"/>
      <c r="F7" s="63"/>
      <c r="G7" s="63"/>
    </row>
    <row r="8">
      <c r="A8" s="64" t="s">
        <v>174</v>
      </c>
      <c r="B8" s="54"/>
      <c r="C8" s="54"/>
      <c r="D8" s="54"/>
      <c r="E8" s="93" t="s">
        <v>169</v>
      </c>
      <c r="G8" s="93" t="s">
        <v>171</v>
      </c>
    </row>
    <row r="9">
      <c r="A9" s="70">
        <v>7.0</v>
      </c>
      <c r="B9" s="30"/>
      <c r="C9" s="30"/>
      <c r="D9" s="60">
        <f>sum(D19:D24)</f>
        <v>30</v>
      </c>
      <c r="E9" s="60">
        <f>$D$5</f>
        <v>179</v>
      </c>
      <c r="F9" s="60">
        <f>sum(F19:F24)</f>
        <v>30</v>
      </c>
      <c r="G9" s="60">
        <f>$D$5</f>
        <v>179</v>
      </c>
    </row>
    <row r="10">
      <c r="A10" s="52">
        <f t="shared" ref="A10:A11" si="1">A9+1</f>
        <v>8</v>
      </c>
      <c r="B10" s="54"/>
      <c r="C10" s="54"/>
      <c r="D10" s="67">
        <f>SUM(D26:D32)</f>
        <v>24</v>
      </c>
      <c r="E10" s="67">
        <f t="shared" ref="E10:E15" si="2">E9-D9</f>
        <v>149</v>
      </c>
      <c r="F10" s="67">
        <f>SUM(F26:F32)</f>
        <v>18</v>
      </c>
      <c r="G10" s="67">
        <f t="shared" ref="G10:G15" si="3">G9-F9</f>
        <v>149</v>
      </c>
    </row>
    <row r="11">
      <c r="A11" s="66">
        <f t="shared" si="1"/>
        <v>9</v>
      </c>
      <c r="B11" s="30"/>
      <c r="C11" s="30"/>
      <c r="D11" s="60">
        <f>SUM(D34:D41)</f>
        <v>29</v>
      </c>
      <c r="E11" s="60">
        <f t="shared" si="2"/>
        <v>125</v>
      </c>
      <c r="F11" s="60">
        <f>SUM(F34:F41)</f>
        <v>40</v>
      </c>
      <c r="G11" s="60">
        <f t="shared" si="3"/>
        <v>131</v>
      </c>
    </row>
    <row r="12">
      <c r="A12" s="68">
        <v>10.0</v>
      </c>
      <c r="B12" s="54"/>
      <c r="C12" s="54"/>
      <c r="D12" s="54">
        <f>SUM(D43:D49)</f>
        <v>31</v>
      </c>
      <c r="E12" s="54">
        <f t="shared" si="2"/>
        <v>96</v>
      </c>
      <c r="F12" s="54">
        <f>SUM(F43:F49)</f>
        <v>0</v>
      </c>
      <c r="G12" s="54">
        <f t="shared" si="3"/>
        <v>91</v>
      </c>
    </row>
    <row r="13">
      <c r="A13" s="66">
        <v>11.0</v>
      </c>
      <c r="B13" s="30"/>
      <c r="C13" s="30"/>
      <c r="D13" s="30">
        <f>SUM(D51:D60)</f>
        <v>28</v>
      </c>
      <c r="E13" s="30">
        <f t="shared" si="2"/>
        <v>65</v>
      </c>
      <c r="F13" s="30">
        <f>SUM(F51:F60)</f>
        <v>0</v>
      </c>
      <c r="G13" s="30">
        <f t="shared" si="3"/>
        <v>91</v>
      </c>
    </row>
    <row r="14">
      <c r="A14" s="68">
        <v>12.0</v>
      </c>
      <c r="B14" s="54"/>
      <c r="C14" s="54"/>
      <c r="D14" s="54">
        <f>SUM(D61:D69)</f>
        <v>19</v>
      </c>
      <c r="E14" s="54">
        <f t="shared" si="2"/>
        <v>37</v>
      </c>
      <c r="F14" s="54">
        <f>SUM(F59:F69)</f>
        <v>0</v>
      </c>
      <c r="G14" s="54">
        <f t="shared" si="3"/>
        <v>91</v>
      </c>
    </row>
    <row r="15">
      <c r="A15" s="66">
        <v>13.0</v>
      </c>
      <c r="B15" s="30"/>
      <c r="C15" s="30"/>
      <c r="D15" s="30">
        <f>SUM(D70:D77)</f>
        <v>18</v>
      </c>
      <c r="E15" s="30">
        <f t="shared" si="2"/>
        <v>18</v>
      </c>
      <c r="F15" s="30">
        <f>SUM(F68:F77)</f>
        <v>0</v>
      </c>
      <c r="G15" s="30">
        <f t="shared" si="3"/>
        <v>91</v>
      </c>
    </row>
    <row r="16">
      <c r="A16" s="68"/>
      <c r="B16" s="54"/>
      <c r="C16" s="54"/>
      <c r="D16" s="54"/>
      <c r="E16" s="67"/>
      <c r="F16" s="54"/>
      <c r="G16" s="67"/>
    </row>
    <row r="17">
      <c r="A17" s="73" t="s">
        <v>175</v>
      </c>
      <c r="B17" s="74"/>
      <c r="C17" s="75"/>
      <c r="D17" s="75"/>
      <c r="E17" s="75"/>
      <c r="F17" s="75"/>
      <c r="G17" s="75"/>
    </row>
    <row r="18">
      <c r="A18" s="66"/>
      <c r="B18" s="30"/>
      <c r="C18" s="30"/>
      <c r="D18" s="30"/>
      <c r="E18" s="30"/>
      <c r="F18" s="30"/>
      <c r="G18" s="30"/>
    </row>
    <row r="19">
      <c r="A19" s="76">
        <f>A9</f>
        <v>7</v>
      </c>
      <c r="B19" s="54" t="str">
        <f>'Sprint Goals'!B8</f>
        <v>Advance core platform capabilities &amp; foundation for multi-agent workflow orchestration</v>
      </c>
      <c r="C19" s="28" t="s">
        <v>207</v>
      </c>
      <c r="D19" s="28">
        <v>3.0</v>
      </c>
      <c r="E19" s="54"/>
      <c r="F19" s="28">
        <v>3.0</v>
      </c>
      <c r="G19" s="54"/>
    </row>
    <row r="20">
      <c r="A20" s="66"/>
      <c r="B20" s="78"/>
      <c r="C20" s="32" t="s">
        <v>208</v>
      </c>
      <c r="D20" s="32">
        <v>8.0</v>
      </c>
      <c r="E20" s="30"/>
      <c r="F20" s="32">
        <v>8.0</v>
      </c>
      <c r="G20" s="30"/>
    </row>
    <row r="21">
      <c r="A21" s="52"/>
      <c r="B21" s="94"/>
      <c r="C21" s="81" t="s">
        <v>209</v>
      </c>
      <c r="D21" s="87">
        <v>5.0</v>
      </c>
      <c r="E21" s="53"/>
      <c r="F21" s="87">
        <v>5.0</v>
      </c>
      <c r="G21" s="53"/>
    </row>
    <row r="22">
      <c r="A22" s="66"/>
      <c r="B22" s="30"/>
      <c r="C22" s="30" t="s">
        <v>210</v>
      </c>
      <c r="D22" s="86">
        <v>8.0</v>
      </c>
      <c r="E22" s="30"/>
      <c r="F22" s="86">
        <v>8.0</v>
      </c>
      <c r="G22" s="30"/>
    </row>
    <row r="23">
      <c r="A23" s="80"/>
      <c r="B23" s="54"/>
      <c r="C23" s="81" t="s">
        <v>211</v>
      </c>
      <c r="D23" s="87">
        <v>3.0</v>
      </c>
      <c r="E23" s="69"/>
      <c r="F23" s="87">
        <v>3.0</v>
      </c>
      <c r="G23" s="69"/>
    </row>
    <row r="24">
      <c r="A24" s="66"/>
      <c r="B24" s="30"/>
      <c r="C24" s="32" t="s">
        <v>212</v>
      </c>
      <c r="D24" s="86">
        <v>3.0</v>
      </c>
      <c r="E24" s="30"/>
      <c r="F24" s="86">
        <v>3.0</v>
      </c>
      <c r="G24" s="30"/>
    </row>
    <row r="25">
      <c r="A25" s="54"/>
      <c r="B25" s="54"/>
      <c r="C25" s="54"/>
      <c r="D25" s="54"/>
      <c r="E25" s="54"/>
      <c r="F25" s="54"/>
      <c r="G25" s="54"/>
    </row>
    <row r="26">
      <c r="A26" s="95">
        <f>A10</f>
        <v>8</v>
      </c>
      <c r="B26" s="66" t="str">
        <f>'Sprint Goals'!B9</f>
        <v>Refine agent interaction quality, tool integration &amp; production stability</v>
      </c>
      <c r="C26" s="32" t="s">
        <v>193</v>
      </c>
      <c r="D26" s="86">
        <v>5.0</v>
      </c>
      <c r="E26" s="30"/>
      <c r="F26" s="86">
        <v>5.0</v>
      </c>
      <c r="G26" s="30"/>
    </row>
    <row r="27">
      <c r="A27" s="80"/>
      <c r="B27" s="54"/>
      <c r="C27" s="54" t="s">
        <v>213</v>
      </c>
      <c r="D27" s="54">
        <v>3.0</v>
      </c>
      <c r="E27" s="54"/>
      <c r="F27" s="28">
        <v>5.0</v>
      </c>
      <c r="G27" s="54"/>
    </row>
    <row r="28">
      <c r="A28" s="66"/>
      <c r="B28" s="30"/>
      <c r="C28" s="32" t="s">
        <v>214</v>
      </c>
      <c r="D28" s="86">
        <v>5.0</v>
      </c>
      <c r="E28" s="30"/>
      <c r="F28" s="86" t="s">
        <v>181</v>
      </c>
      <c r="G28" s="30"/>
    </row>
    <row r="29">
      <c r="A29" s="80"/>
      <c r="B29" s="54"/>
      <c r="C29" s="54" t="s">
        <v>215</v>
      </c>
      <c r="D29" s="54">
        <v>3.0</v>
      </c>
      <c r="E29" s="54"/>
      <c r="F29" s="28">
        <v>3.0</v>
      </c>
      <c r="G29" s="54"/>
    </row>
    <row r="30">
      <c r="A30" s="66"/>
      <c r="B30" s="30"/>
      <c r="C30" s="32" t="s">
        <v>216</v>
      </c>
      <c r="D30" s="86">
        <v>3.0</v>
      </c>
      <c r="E30" s="30"/>
      <c r="F30" s="86">
        <v>5.0</v>
      </c>
      <c r="G30" s="30"/>
    </row>
    <row r="31">
      <c r="A31" s="76"/>
      <c r="B31" s="54"/>
      <c r="C31" s="54" t="s">
        <v>217</v>
      </c>
      <c r="D31" s="54">
        <v>3.0</v>
      </c>
      <c r="E31" s="54"/>
      <c r="F31" s="96" t="s">
        <v>181</v>
      </c>
      <c r="G31" s="54"/>
    </row>
    <row r="32">
      <c r="A32" s="66"/>
      <c r="B32" s="78"/>
      <c r="C32" s="32" t="s">
        <v>218</v>
      </c>
      <c r="D32" s="86">
        <v>2.0</v>
      </c>
      <c r="E32" s="30"/>
      <c r="F32" s="86" t="s">
        <v>181</v>
      </c>
      <c r="G32" s="30"/>
    </row>
    <row r="33">
      <c r="A33" s="76"/>
      <c r="B33" s="54"/>
      <c r="C33" s="54"/>
      <c r="D33" s="54"/>
      <c r="E33" s="54"/>
      <c r="F33" s="54"/>
      <c r="G33" s="54"/>
    </row>
    <row r="34">
      <c r="A34" s="95">
        <f>A11</f>
        <v>9</v>
      </c>
      <c r="B34" s="97" t="str">
        <f>'Sprint Goals'!B10</f>
        <v>Conditional Multi-Agent Workflows &amp; Unified Processing</v>
      </c>
      <c r="C34" s="32" t="s">
        <v>219</v>
      </c>
      <c r="D34" s="86">
        <v>5.0</v>
      </c>
      <c r="E34" s="30"/>
      <c r="F34" s="86">
        <v>8.0</v>
      </c>
      <c r="G34" s="30"/>
    </row>
    <row r="35">
      <c r="A35" s="76"/>
      <c r="B35" s="54"/>
      <c r="C35" s="54" t="s">
        <v>220</v>
      </c>
      <c r="D35" s="54">
        <v>3.0</v>
      </c>
      <c r="E35" s="54"/>
      <c r="F35" s="28">
        <v>3.0</v>
      </c>
      <c r="G35" s="54"/>
    </row>
    <row r="36">
      <c r="A36" s="66"/>
      <c r="B36" s="78"/>
      <c r="C36" s="32" t="s">
        <v>221</v>
      </c>
      <c r="D36" s="86">
        <v>3.0</v>
      </c>
      <c r="E36" s="30"/>
      <c r="F36" s="86">
        <v>5.0</v>
      </c>
      <c r="G36" s="30"/>
    </row>
    <row r="37">
      <c r="A37" s="76"/>
      <c r="B37" s="54"/>
      <c r="C37" s="54" t="s">
        <v>222</v>
      </c>
      <c r="D37" s="54">
        <v>3.0</v>
      </c>
      <c r="E37" s="54"/>
      <c r="F37" s="28">
        <v>3.0</v>
      </c>
      <c r="G37" s="54"/>
    </row>
    <row r="38">
      <c r="A38" s="66"/>
      <c r="B38" s="78"/>
      <c r="C38" s="32" t="s">
        <v>223</v>
      </c>
      <c r="D38" s="86">
        <v>5.0</v>
      </c>
      <c r="E38" s="30"/>
      <c r="F38" s="86">
        <v>8.0</v>
      </c>
      <c r="G38" s="30"/>
    </row>
    <row r="39">
      <c r="A39" s="76"/>
      <c r="B39" s="54"/>
      <c r="C39" s="28" t="s">
        <v>214</v>
      </c>
      <c r="D39" s="28">
        <v>5.0</v>
      </c>
      <c r="E39" s="54"/>
      <c r="F39" s="28">
        <v>5.0</v>
      </c>
      <c r="G39" s="54"/>
    </row>
    <row r="40">
      <c r="A40" s="30"/>
      <c r="B40" s="86"/>
      <c r="C40" s="30" t="s">
        <v>217</v>
      </c>
      <c r="D40" s="86">
        <v>3.0</v>
      </c>
      <c r="E40" s="30"/>
      <c r="F40" s="86">
        <v>3.0</v>
      </c>
      <c r="G40" s="30"/>
    </row>
    <row r="41">
      <c r="A41" s="54"/>
      <c r="B41" s="54"/>
      <c r="C41" s="54" t="s">
        <v>218</v>
      </c>
      <c r="D41" s="54">
        <v>2.0</v>
      </c>
      <c r="E41" s="54"/>
      <c r="F41" s="28">
        <v>5.0</v>
      </c>
      <c r="G41" s="54"/>
    </row>
    <row r="42">
      <c r="A42" s="86"/>
      <c r="B42" s="86"/>
      <c r="C42" s="86"/>
      <c r="D42" s="86"/>
      <c r="E42" s="30"/>
      <c r="F42" s="86"/>
      <c r="G42" s="30"/>
    </row>
    <row r="43">
      <c r="A43" s="98">
        <v>10.0</v>
      </c>
      <c r="B43" s="54" t="str">
        <f>'Sprint Goals'!B11</f>
        <v>Open-Source Model Integration  &amp; Evaluation Framework</v>
      </c>
      <c r="C43" s="28" t="s">
        <v>224</v>
      </c>
      <c r="D43" s="28">
        <v>13.0</v>
      </c>
      <c r="E43" s="54"/>
      <c r="F43" s="54"/>
      <c r="G43" s="54"/>
    </row>
    <row r="44">
      <c r="A44" s="66"/>
      <c r="B44" s="78"/>
      <c r="C44" s="78" t="s">
        <v>225</v>
      </c>
      <c r="D44" s="86">
        <v>8.0</v>
      </c>
      <c r="E44" s="30"/>
      <c r="F44" s="86"/>
      <c r="G44" s="30"/>
    </row>
    <row r="45">
      <c r="A45" s="76"/>
      <c r="B45" s="54"/>
      <c r="C45" s="54" t="s">
        <v>226</v>
      </c>
      <c r="D45" s="54">
        <v>5.0</v>
      </c>
      <c r="E45" s="54"/>
      <c r="F45" s="54"/>
      <c r="G45" s="54"/>
    </row>
    <row r="46">
      <c r="A46" s="66"/>
      <c r="B46" s="78"/>
      <c r="C46" s="30" t="s">
        <v>227</v>
      </c>
      <c r="D46" s="30">
        <v>5.0</v>
      </c>
      <c r="E46" s="30"/>
      <c r="F46" s="86"/>
      <c r="G46" s="30"/>
    </row>
    <row r="47">
      <c r="A47" s="76"/>
      <c r="B47" s="54"/>
      <c r="C47" s="28"/>
      <c r="D47" s="28"/>
      <c r="E47" s="54"/>
      <c r="F47" s="54"/>
      <c r="G47" s="54"/>
    </row>
    <row r="48">
      <c r="A48" s="66"/>
      <c r="B48" s="78"/>
      <c r="C48" s="78"/>
      <c r="D48" s="86"/>
      <c r="E48" s="30"/>
      <c r="F48" s="86"/>
      <c r="G48" s="30"/>
    </row>
    <row r="49">
      <c r="A49" s="76"/>
      <c r="B49" s="54"/>
      <c r="C49" s="54"/>
      <c r="D49" s="54"/>
      <c r="E49" s="54"/>
      <c r="F49" s="54"/>
      <c r="G49" s="54"/>
    </row>
    <row r="50">
      <c r="A50" s="66"/>
      <c r="B50" s="78"/>
      <c r="C50" s="32"/>
      <c r="D50" s="86"/>
      <c r="E50" s="30"/>
      <c r="F50" s="86"/>
      <c r="G50" s="30"/>
    </row>
    <row r="51">
      <c r="A51" s="76">
        <v>11.0</v>
      </c>
      <c r="B51" s="54" t="str">
        <f>'Sprint Goals'!B12</f>
        <v>System Hardening &amp; Benchmarking</v>
      </c>
      <c r="C51" s="54" t="s">
        <v>228</v>
      </c>
      <c r="D51" s="54">
        <v>5.0</v>
      </c>
      <c r="E51" s="54"/>
      <c r="F51" s="54"/>
      <c r="G51" s="54"/>
    </row>
    <row r="52">
      <c r="A52" s="66"/>
      <c r="B52" s="78"/>
      <c r="C52" s="32" t="s">
        <v>229</v>
      </c>
      <c r="D52" s="86">
        <v>3.0</v>
      </c>
      <c r="E52" s="30"/>
      <c r="F52" s="86"/>
      <c r="G52" s="30"/>
    </row>
    <row r="53">
      <c r="A53" s="76"/>
      <c r="B53" s="54"/>
      <c r="C53" s="54" t="s">
        <v>230</v>
      </c>
      <c r="D53" s="54">
        <v>3.0</v>
      </c>
      <c r="E53" s="54"/>
      <c r="F53" s="54"/>
      <c r="G53" s="54"/>
    </row>
    <row r="54">
      <c r="A54" s="66"/>
      <c r="B54" s="78"/>
      <c r="C54" s="32" t="s">
        <v>231</v>
      </c>
      <c r="D54" s="86">
        <v>3.0</v>
      </c>
      <c r="E54" s="86"/>
      <c r="F54" s="86"/>
      <c r="G54" s="30"/>
    </row>
    <row r="55">
      <c r="A55" s="76"/>
      <c r="B55" s="54"/>
      <c r="C55" s="54" t="s">
        <v>232</v>
      </c>
      <c r="D55" s="54">
        <v>3.0</v>
      </c>
      <c r="E55" s="54"/>
      <c r="F55" s="54"/>
      <c r="G55" s="54"/>
    </row>
    <row r="56">
      <c r="A56" s="66"/>
      <c r="B56" s="78"/>
      <c r="C56" s="32" t="s">
        <v>233</v>
      </c>
      <c r="D56" s="86">
        <v>5.0</v>
      </c>
      <c r="E56" s="30"/>
      <c r="F56" s="86"/>
      <c r="G56" s="30"/>
    </row>
    <row r="57">
      <c r="A57" s="76"/>
      <c r="B57" s="54"/>
      <c r="C57" s="54" t="s">
        <v>234</v>
      </c>
      <c r="D57" s="54">
        <v>3.0</v>
      </c>
      <c r="E57" s="54"/>
      <c r="F57" s="54"/>
      <c r="G57" s="54"/>
    </row>
    <row r="58">
      <c r="A58" s="66"/>
      <c r="B58" s="78"/>
      <c r="C58" s="32" t="s">
        <v>235</v>
      </c>
      <c r="D58" s="86">
        <v>3.0</v>
      </c>
      <c r="E58" s="30"/>
      <c r="F58" s="86"/>
      <c r="G58" s="30"/>
    </row>
    <row r="59">
      <c r="A59" s="54"/>
      <c r="B59" s="54"/>
      <c r="C59" s="54"/>
      <c r="D59" s="54"/>
      <c r="E59" s="54"/>
      <c r="F59" s="54"/>
      <c r="G59" s="54"/>
    </row>
    <row r="60">
      <c r="A60" s="30"/>
      <c r="B60" s="30"/>
      <c r="C60" s="32"/>
      <c r="D60" s="86"/>
      <c r="E60" s="30"/>
      <c r="F60" s="86"/>
      <c r="G60" s="30"/>
    </row>
    <row r="61">
      <c r="A61" s="76">
        <v>12.0</v>
      </c>
      <c r="B61" s="54" t="str">
        <f>'Sprint Goals'!B13</f>
        <v>Performance Optimization &amp; Demo Day Prep</v>
      </c>
      <c r="C61" s="54" t="s">
        <v>236</v>
      </c>
      <c r="D61" s="54">
        <v>1.0</v>
      </c>
      <c r="E61" s="54"/>
      <c r="F61" s="54"/>
      <c r="G61" s="54"/>
    </row>
    <row r="62">
      <c r="A62" s="66"/>
      <c r="B62" s="78"/>
      <c r="C62" s="32" t="s">
        <v>237</v>
      </c>
      <c r="D62" s="86">
        <v>2.0</v>
      </c>
      <c r="E62" s="30"/>
      <c r="F62" s="86"/>
      <c r="G62" s="30"/>
    </row>
    <row r="63">
      <c r="A63" s="76"/>
      <c r="B63" s="54"/>
      <c r="C63" s="54" t="s">
        <v>238</v>
      </c>
      <c r="D63" s="54">
        <v>3.0</v>
      </c>
      <c r="E63" s="54"/>
      <c r="F63" s="54"/>
      <c r="G63" s="54"/>
    </row>
    <row r="64">
      <c r="A64" s="66"/>
      <c r="B64" s="78"/>
      <c r="C64" s="32" t="s">
        <v>239</v>
      </c>
      <c r="D64" s="86">
        <v>3.0</v>
      </c>
      <c r="E64" s="30"/>
      <c r="F64" s="86"/>
      <c r="G64" s="30"/>
    </row>
    <row r="65">
      <c r="A65" s="76"/>
      <c r="B65" s="54"/>
      <c r="C65" s="54" t="s">
        <v>240</v>
      </c>
      <c r="D65" s="54">
        <v>2.0</v>
      </c>
      <c r="E65" s="54"/>
      <c r="F65" s="54"/>
      <c r="G65" s="54"/>
    </row>
    <row r="66">
      <c r="A66" s="66"/>
      <c r="B66" s="78"/>
      <c r="C66" s="32" t="s">
        <v>241</v>
      </c>
      <c r="D66" s="86">
        <v>3.0</v>
      </c>
      <c r="E66" s="30"/>
      <c r="F66" s="86"/>
      <c r="G66" s="30"/>
    </row>
    <row r="67">
      <c r="A67" s="76"/>
      <c r="B67" s="54"/>
      <c r="C67" s="54" t="s">
        <v>242</v>
      </c>
      <c r="D67" s="54">
        <v>5.0</v>
      </c>
      <c r="E67" s="54"/>
      <c r="F67" s="54"/>
      <c r="G67" s="54"/>
    </row>
    <row r="68">
      <c r="A68" s="66"/>
      <c r="B68" s="78"/>
      <c r="C68" s="32"/>
      <c r="D68" s="86"/>
      <c r="E68" s="30"/>
      <c r="F68" s="86"/>
      <c r="G68" s="30"/>
    </row>
    <row r="69">
      <c r="A69" s="76"/>
      <c r="B69" s="54"/>
      <c r="C69" s="54"/>
      <c r="D69" s="54"/>
      <c r="E69" s="54"/>
      <c r="F69" s="54"/>
      <c r="G69" s="54"/>
    </row>
    <row r="70">
      <c r="A70" s="95">
        <v>13.0</v>
      </c>
      <c r="B70" s="78" t="str">
        <f>'Sprint Goals'!B14</f>
        <v>Handover &amp; Documentation</v>
      </c>
      <c r="C70" s="32" t="s">
        <v>243</v>
      </c>
      <c r="D70" s="86">
        <v>5.0</v>
      </c>
      <c r="E70" s="30"/>
      <c r="F70" s="86"/>
      <c r="G70" s="30"/>
    </row>
    <row r="71">
      <c r="A71" s="76"/>
      <c r="B71" s="54"/>
      <c r="C71" s="54" t="s">
        <v>244</v>
      </c>
      <c r="D71" s="54">
        <v>2.0</v>
      </c>
      <c r="E71" s="54"/>
      <c r="F71" s="54"/>
      <c r="G71" s="54"/>
    </row>
    <row r="72">
      <c r="A72" s="66"/>
      <c r="B72" s="78"/>
      <c r="C72" s="30" t="s">
        <v>245</v>
      </c>
      <c r="D72" s="86">
        <v>5.0</v>
      </c>
      <c r="E72" s="30"/>
      <c r="F72" s="86"/>
      <c r="G72" s="30"/>
    </row>
    <row r="73">
      <c r="A73" s="76"/>
      <c r="B73" s="54"/>
      <c r="C73" s="54" t="s">
        <v>246</v>
      </c>
      <c r="D73" s="54">
        <v>3.0</v>
      </c>
      <c r="E73" s="54"/>
      <c r="F73" s="54"/>
      <c r="G73" s="54"/>
    </row>
    <row r="74">
      <c r="A74" s="66"/>
      <c r="B74" s="78"/>
      <c r="C74" s="30" t="s">
        <v>247</v>
      </c>
      <c r="D74" s="86">
        <v>3.0</v>
      </c>
      <c r="E74" s="30"/>
      <c r="F74" s="30"/>
      <c r="G74" s="30"/>
    </row>
    <row r="75">
      <c r="A75" s="76"/>
      <c r="B75" s="54"/>
      <c r="C75" s="54"/>
      <c r="D75" s="54"/>
      <c r="E75" s="69"/>
      <c r="F75" s="69"/>
      <c r="G75" s="69"/>
    </row>
    <row r="76">
      <c r="A76" s="66"/>
      <c r="B76" s="30"/>
      <c r="C76" s="30"/>
      <c r="D76" s="60"/>
      <c r="E76" s="30"/>
      <c r="F76" s="30"/>
      <c r="G76" s="30"/>
    </row>
    <row r="77">
      <c r="A77" s="76"/>
      <c r="B77" s="54"/>
      <c r="C77" s="54"/>
      <c r="D77" s="67"/>
      <c r="E77" s="69"/>
      <c r="F77" s="69"/>
      <c r="G77" s="69"/>
    </row>
    <row r="78">
      <c r="A78" s="66"/>
      <c r="B78" s="30"/>
      <c r="C78" s="30"/>
      <c r="D78" s="60"/>
      <c r="E78" s="30"/>
      <c r="F78" s="30"/>
      <c r="G78" s="30"/>
    </row>
    <row r="79">
      <c r="A79" s="76"/>
      <c r="B79" s="54"/>
      <c r="C79" s="54"/>
      <c r="D79" s="67"/>
      <c r="E79" s="69"/>
      <c r="F79" s="69"/>
      <c r="G79" s="69"/>
    </row>
    <row r="80">
      <c r="A80" s="66"/>
      <c r="B80" s="30"/>
      <c r="C80" s="30"/>
      <c r="D80" s="60"/>
      <c r="E80" s="30"/>
      <c r="F80" s="30"/>
      <c r="G80" s="30"/>
    </row>
    <row r="81">
      <c r="A81" s="80"/>
      <c r="B81" s="54"/>
      <c r="C81" s="54"/>
      <c r="D81" s="54"/>
      <c r="E81" s="54"/>
      <c r="F81" s="54"/>
      <c r="G81" s="54"/>
    </row>
    <row r="82">
      <c r="A82" s="80"/>
      <c r="B82" s="54"/>
      <c r="C82" s="99" t="s">
        <v>203</v>
      </c>
      <c r="D82" s="54"/>
      <c r="E82" s="54"/>
      <c r="F82" s="54"/>
      <c r="G82" s="54"/>
    </row>
    <row r="83">
      <c r="A83" s="80"/>
      <c r="B83" s="54"/>
      <c r="C83" s="54"/>
      <c r="D83" s="54"/>
      <c r="E83" s="54"/>
      <c r="F83" s="54"/>
      <c r="G83" s="54"/>
    </row>
    <row r="84">
      <c r="A84" s="80"/>
      <c r="B84" s="54"/>
      <c r="C84" s="54"/>
      <c r="D84" s="54"/>
      <c r="E84" s="54"/>
      <c r="F84" s="54"/>
      <c r="G84" s="54"/>
    </row>
    <row r="85">
      <c r="A85" s="80"/>
      <c r="B85" s="54"/>
      <c r="C85" s="54"/>
      <c r="D85" s="54"/>
      <c r="E85" s="54"/>
      <c r="F85" s="54"/>
      <c r="G85" s="54"/>
    </row>
    <row r="86">
      <c r="A86" s="80"/>
      <c r="B86" s="54"/>
      <c r="C86" s="54"/>
      <c r="D86" s="54"/>
      <c r="E86" s="54"/>
      <c r="F86" s="54"/>
      <c r="G86" s="54"/>
    </row>
    <row r="87">
      <c r="A87" s="80"/>
      <c r="B87" s="54"/>
      <c r="C87" s="54"/>
      <c r="D87" s="54"/>
      <c r="E87" s="54"/>
      <c r="F87" s="54"/>
      <c r="G87" s="54"/>
    </row>
    <row r="88">
      <c r="A88" s="80"/>
      <c r="B88" s="54"/>
      <c r="C88" s="54"/>
      <c r="D88" s="54"/>
      <c r="E88" s="54"/>
      <c r="F88" s="54"/>
      <c r="G88" s="54"/>
    </row>
    <row r="89">
      <c r="A89" s="80"/>
      <c r="B89" s="54"/>
      <c r="C89" s="54"/>
      <c r="D89" s="54"/>
      <c r="E89" s="54"/>
      <c r="F89" s="54"/>
      <c r="G89" s="54"/>
    </row>
    <row r="90">
      <c r="A90" s="80"/>
      <c r="B90" s="54"/>
      <c r="C90" s="54"/>
      <c r="D90" s="54"/>
      <c r="E90" s="54"/>
      <c r="F90" s="54"/>
      <c r="G90" s="54"/>
    </row>
    <row r="91">
      <c r="A91" s="80"/>
      <c r="B91" s="54"/>
      <c r="C91" s="54"/>
      <c r="D91" s="54"/>
      <c r="E91" s="54"/>
      <c r="F91" s="54"/>
      <c r="G91" s="54"/>
    </row>
    <row r="92">
      <c r="A92" s="80"/>
      <c r="B92" s="54"/>
      <c r="C92" s="54"/>
      <c r="D92" s="54"/>
      <c r="E92" s="54"/>
      <c r="F92" s="54"/>
      <c r="G92" s="54"/>
    </row>
    <row r="93">
      <c r="A93" s="80"/>
      <c r="B93" s="54"/>
      <c r="C93" s="54"/>
      <c r="D93" s="54"/>
      <c r="E93" s="54"/>
      <c r="F93" s="54"/>
      <c r="G93" s="54"/>
    </row>
    <row r="94">
      <c r="A94" s="80"/>
      <c r="B94" s="54"/>
      <c r="C94" s="54"/>
      <c r="D94" s="54"/>
      <c r="E94" s="54"/>
      <c r="F94" s="54"/>
      <c r="G94" s="54"/>
    </row>
    <row r="95">
      <c r="A95" s="80"/>
      <c r="B95" s="54"/>
      <c r="C95" s="54"/>
      <c r="D95" s="54"/>
      <c r="E95" s="54"/>
      <c r="F95" s="54"/>
      <c r="G95" s="54"/>
    </row>
    <row r="96">
      <c r="A96" s="80"/>
      <c r="B96" s="54"/>
      <c r="C96" s="54"/>
      <c r="D96" s="54"/>
      <c r="E96" s="54"/>
      <c r="F96" s="54"/>
      <c r="G96" s="54"/>
    </row>
    <row r="97">
      <c r="A97" s="80"/>
      <c r="B97" s="54"/>
      <c r="C97" s="54"/>
      <c r="D97" s="54"/>
      <c r="E97" s="54"/>
      <c r="F97" s="54"/>
      <c r="G97" s="54"/>
    </row>
    <row r="98">
      <c r="A98" s="80"/>
      <c r="B98" s="54"/>
      <c r="C98" s="54"/>
      <c r="D98" s="54"/>
      <c r="E98" s="54"/>
      <c r="F98" s="54"/>
      <c r="G98" s="54"/>
    </row>
    <row r="99">
      <c r="A99" s="80"/>
      <c r="B99" s="54"/>
      <c r="C99" s="54"/>
      <c r="D99" s="54"/>
      <c r="E99" s="54"/>
      <c r="F99" s="54"/>
      <c r="G99" s="54"/>
    </row>
    <row r="100">
      <c r="A100" s="80"/>
      <c r="B100" s="54"/>
      <c r="C100" s="54"/>
      <c r="D100" s="54"/>
      <c r="E100" s="54"/>
      <c r="F100" s="54"/>
      <c r="G100" s="54"/>
    </row>
    <row r="101">
      <c r="A101" s="80"/>
      <c r="B101" s="54"/>
      <c r="C101" s="54"/>
      <c r="D101" s="54"/>
      <c r="E101" s="54"/>
      <c r="F101" s="54"/>
      <c r="G101" s="54"/>
    </row>
    <row r="102">
      <c r="A102" s="80"/>
      <c r="B102" s="54"/>
      <c r="C102" s="54"/>
      <c r="D102" s="54"/>
      <c r="E102" s="54"/>
      <c r="F102" s="54"/>
      <c r="G102" s="54"/>
    </row>
    <row r="103">
      <c r="A103" s="80"/>
      <c r="B103" s="54"/>
      <c r="C103" s="54"/>
      <c r="D103" s="54"/>
      <c r="E103" s="54"/>
      <c r="F103" s="54"/>
      <c r="G103" s="54"/>
    </row>
    <row r="104">
      <c r="A104" s="80"/>
      <c r="B104" s="54"/>
      <c r="C104" s="54"/>
      <c r="D104" s="54"/>
      <c r="E104" s="54"/>
      <c r="F104" s="54"/>
      <c r="G104" s="54"/>
    </row>
    <row r="105">
      <c r="A105" s="80"/>
      <c r="B105" s="54"/>
      <c r="C105" s="54"/>
      <c r="D105" s="54"/>
      <c r="E105" s="54"/>
      <c r="F105" s="54"/>
      <c r="G105" s="54"/>
    </row>
    <row r="106">
      <c r="A106" s="80"/>
      <c r="B106" s="54"/>
      <c r="C106" s="54"/>
      <c r="D106" s="54"/>
      <c r="E106" s="54"/>
      <c r="F106" s="54"/>
      <c r="G106" s="54"/>
    </row>
    <row r="107">
      <c r="A107" s="80"/>
      <c r="B107" s="54"/>
      <c r="C107" s="54"/>
      <c r="D107" s="54"/>
      <c r="E107" s="54"/>
      <c r="F107" s="54"/>
      <c r="G107"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40.13"/>
    <col customWidth="1" min="3" max="3" width="36.75"/>
    <col customWidth="1" min="4" max="4" width="46.13"/>
  </cols>
  <sheetData>
    <row r="1">
      <c r="A1" s="100" t="s">
        <v>69</v>
      </c>
      <c r="B1" s="49" t="s">
        <v>248</v>
      </c>
      <c r="C1" s="49" t="s">
        <v>249</v>
      </c>
      <c r="D1" s="101" t="s">
        <v>250</v>
      </c>
    </row>
    <row r="2">
      <c r="A2" s="2"/>
      <c r="B2" s="2" t="s">
        <v>251</v>
      </c>
      <c r="C2" s="3"/>
      <c r="D2" s="3"/>
    </row>
    <row r="3">
      <c r="A3" s="3"/>
      <c r="B3" s="2" t="s">
        <v>252</v>
      </c>
      <c r="C3" s="3"/>
      <c r="D3" s="3"/>
    </row>
    <row r="4">
      <c r="A4" s="3"/>
      <c r="B4" s="2" t="s">
        <v>253</v>
      </c>
      <c r="C4" s="3"/>
      <c r="D4" s="3"/>
    </row>
    <row r="5">
      <c r="A5" s="3"/>
      <c r="B5" s="2" t="s">
        <v>254</v>
      </c>
      <c r="C5" s="3"/>
      <c r="D5" s="3"/>
    </row>
    <row r="6">
      <c r="A6" s="3"/>
      <c r="B6" s="3"/>
      <c r="C6" s="2" t="s">
        <v>255</v>
      </c>
      <c r="D6" s="3"/>
    </row>
    <row r="7">
      <c r="A7" s="3"/>
      <c r="B7" s="3"/>
      <c r="C7" s="2" t="s">
        <v>256</v>
      </c>
      <c r="D7" s="3"/>
    </row>
    <row r="8">
      <c r="A8" s="3"/>
      <c r="B8" s="3"/>
      <c r="C8" s="2" t="s">
        <v>257</v>
      </c>
    </row>
    <row r="9">
      <c r="A9" s="3"/>
      <c r="B9" s="3"/>
      <c r="C9" s="3"/>
      <c r="D9" s="2" t="s">
        <v>258</v>
      </c>
    </row>
    <row r="10">
      <c r="A10" s="3"/>
      <c r="B10" s="3"/>
      <c r="C10" s="3"/>
      <c r="D10" s="2" t="s">
        <v>259</v>
      </c>
    </row>
    <row r="11">
      <c r="A11" s="3"/>
      <c r="B11" s="3"/>
      <c r="C11" s="3"/>
      <c r="D11" s="2" t="s">
        <v>260</v>
      </c>
    </row>
    <row r="12">
      <c r="A12" s="3"/>
      <c r="B12" s="3"/>
      <c r="C12" s="3"/>
      <c r="D12" s="2" t="s">
        <v>261</v>
      </c>
    </row>
    <row r="13">
      <c r="A13" s="3"/>
      <c r="B13" s="3"/>
      <c r="C13" s="3"/>
      <c r="D13" s="2" t="s">
        <v>262</v>
      </c>
    </row>
    <row r="14">
      <c r="A14" s="3"/>
      <c r="B14" s="3"/>
      <c r="C14" s="3"/>
      <c r="D14" s="2" t="s">
        <v>263</v>
      </c>
    </row>
    <row r="15">
      <c r="A15" s="3"/>
      <c r="B15" s="3"/>
      <c r="C15" s="3"/>
      <c r="D15" s="2" t="s">
        <v>264</v>
      </c>
    </row>
    <row r="16">
      <c r="A16" s="3"/>
      <c r="B16" s="3"/>
      <c r="C16" s="3"/>
      <c r="D16" s="2" t="s">
        <v>265</v>
      </c>
    </row>
    <row r="17">
      <c r="A17" s="3"/>
      <c r="B17" s="3"/>
      <c r="C17" s="3"/>
      <c r="D17" s="2" t="s">
        <v>266</v>
      </c>
    </row>
    <row r="18">
      <c r="A18" s="3"/>
      <c r="B18" s="3"/>
      <c r="C18" s="3"/>
      <c r="D18" s="2" t="s">
        <v>267</v>
      </c>
    </row>
    <row r="19">
      <c r="A19" s="3"/>
      <c r="B19" s="3"/>
      <c r="C19" s="3"/>
      <c r="D19" s="3"/>
    </row>
    <row r="20">
      <c r="A20" s="3"/>
      <c r="B20" s="3"/>
      <c r="C20" s="3"/>
      <c r="D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268</v>
      </c>
      <c r="B1" s="4" t="s">
        <v>269</v>
      </c>
    </row>
    <row r="2">
      <c r="A2" s="2" t="s">
        <v>270</v>
      </c>
      <c r="B2" s="8" t="s">
        <v>17</v>
      </c>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s>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69</v>
      </c>
      <c r="B1" s="4" t="s">
        <v>271</v>
      </c>
      <c r="C1" s="4" t="s">
        <v>272</v>
      </c>
      <c r="D1" s="4" t="s">
        <v>273</v>
      </c>
      <c r="E1" s="4" t="s">
        <v>274</v>
      </c>
      <c r="F1" s="4" t="s">
        <v>76</v>
      </c>
    </row>
    <row r="2">
      <c r="A2" s="2">
        <v>1.0</v>
      </c>
      <c r="B2" s="2" t="s">
        <v>275</v>
      </c>
      <c r="C2" s="2" t="s">
        <v>276</v>
      </c>
      <c r="D2" s="2" t="s">
        <v>277</v>
      </c>
      <c r="E2" s="2" t="s">
        <v>278</v>
      </c>
      <c r="F2" s="2" t="s">
        <v>279</v>
      </c>
    </row>
    <row r="3">
      <c r="A3" s="2">
        <v>2.0</v>
      </c>
      <c r="B3" s="2" t="s">
        <v>275</v>
      </c>
      <c r="C3" s="2" t="s">
        <v>280</v>
      </c>
      <c r="D3" s="2" t="s">
        <v>281</v>
      </c>
      <c r="E3" s="2" t="s">
        <v>282</v>
      </c>
      <c r="F3" s="35" t="s">
        <v>283</v>
      </c>
    </row>
    <row r="4">
      <c r="A4" s="2">
        <v>3.0</v>
      </c>
      <c r="B4" s="2" t="s">
        <v>275</v>
      </c>
      <c r="C4" s="2" t="s">
        <v>284</v>
      </c>
      <c r="D4" s="2" t="s">
        <v>285</v>
      </c>
      <c r="E4" s="2" t="s">
        <v>278</v>
      </c>
      <c r="F4" s="2" t="s">
        <v>286</v>
      </c>
    </row>
    <row r="5">
      <c r="A5" s="2">
        <v>4.0</v>
      </c>
      <c r="B5" s="2" t="s">
        <v>275</v>
      </c>
      <c r="C5" s="2" t="s">
        <v>287</v>
      </c>
      <c r="D5" s="2" t="s">
        <v>288</v>
      </c>
      <c r="E5" s="2" t="s">
        <v>278</v>
      </c>
      <c r="F5" s="35" t="s">
        <v>289</v>
      </c>
    </row>
    <row r="6">
      <c r="A6" s="2">
        <v>5.0</v>
      </c>
      <c r="B6" s="2" t="s">
        <v>275</v>
      </c>
      <c r="C6" s="2" t="s">
        <v>290</v>
      </c>
      <c r="D6" s="2" t="s">
        <v>291</v>
      </c>
      <c r="E6" s="2" t="s">
        <v>282</v>
      </c>
      <c r="F6" s="35" t="s">
        <v>292</v>
      </c>
    </row>
    <row r="7">
      <c r="A7" s="2">
        <v>6.0</v>
      </c>
      <c r="B7" s="2" t="s">
        <v>275</v>
      </c>
      <c r="C7" s="2" t="s">
        <v>293</v>
      </c>
      <c r="D7" s="2" t="s">
        <v>294</v>
      </c>
      <c r="E7" s="2" t="s">
        <v>295</v>
      </c>
      <c r="F7" s="35" t="s">
        <v>296</v>
      </c>
    </row>
    <row r="8">
      <c r="A8" s="2">
        <v>7.0</v>
      </c>
      <c r="B8" s="2" t="s">
        <v>275</v>
      </c>
      <c r="C8" s="2" t="s">
        <v>297</v>
      </c>
      <c r="D8" s="2" t="s">
        <v>298</v>
      </c>
      <c r="E8" s="2" t="s">
        <v>278</v>
      </c>
      <c r="F8" s="35" t="s">
        <v>299</v>
      </c>
    </row>
    <row r="9">
      <c r="A9" s="2">
        <v>8.0</v>
      </c>
      <c r="B9" s="2" t="s">
        <v>275</v>
      </c>
      <c r="C9" s="2" t="s">
        <v>300</v>
      </c>
      <c r="D9" s="2" t="s">
        <v>301</v>
      </c>
      <c r="E9" s="2" t="s">
        <v>278</v>
      </c>
      <c r="F9" s="35" t="s">
        <v>302</v>
      </c>
    </row>
    <row r="10">
      <c r="A10" s="2">
        <v>9.0</v>
      </c>
      <c r="B10" s="2" t="s">
        <v>275</v>
      </c>
      <c r="C10" s="2" t="s">
        <v>303</v>
      </c>
      <c r="D10" s="2" t="s">
        <v>304</v>
      </c>
      <c r="E10" s="35" t="s">
        <v>305</v>
      </c>
      <c r="F10" s="35" t="s">
        <v>306</v>
      </c>
    </row>
    <row r="11">
      <c r="A11" s="2">
        <v>10.0</v>
      </c>
      <c r="B11" s="2" t="s">
        <v>275</v>
      </c>
      <c r="C11" s="35" t="s">
        <v>307</v>
      </c>
      <c r="D11" s="2" t="s">
        <v>308</v>
      </c>
      <c r="E11" s="2" t="s">
        <v>278</v>
      </c>
      <c r="F11" s="35" t="s">
        <v>309</v>
      </c>
    </row>
    <row r="12">
      <c r="A12" s="2">
        <v>11.0</v>
      </c>
      <c r="B12" s="2" t="s">
        <v>275</v>
      </c>
      <c r="C12" s="102" t="s">
        <v>310</v>
      </c>
      <c r="D12" s="102" t="s">
        <v>311</v>
      </c>
      <c r="E12" s="102" t="s">
        <v>312</v>
      </c>
      <c r="F12" s="102" t="s">
        <v>313</v>
      </c>
    </row>
    <row r="13">
      <c r="A13" s="2">
        <v>12.0</v>
      </c>
      <c r="B13" s="2" t="s">
        <v>275</v>
      </c>
      <c r="C13" s="102" t="s">
        <v>314</v>
      </c>
      <c r="D13" s="102" t="s">
        <v>315</v>
      </c>
      <c r="E13" s="2" t="s">
        <v>295</v>
      </c>
      <c r="F13" s="102" t="s">
        <v>316</v>
      </c>
    </row>
    <row r="14">
      <c r="A14" s="2">
        <v>13.0</v>
      </c>
      <c r="B14" s="2" t="s">
        <v>275</v>
      </c>
      <c r="C14" s="102" t="s">
        <v>317</v>
      </c>
      <c r="D14" s="102" t="s">
        <v>318</v>
      </c>
      <c r="E14" s="2" t="s">
        <v>295</v>
      </c>
      <c r="F14" s="102" t="s">
        <v>319</v>
      </c>
    </row>
    <row r="15">
      <c r="A15" s="2">
        <v>14.0</v>
      </c>
      <c r="B15" s="2" t="s">
        <v>275</v>
      </c>
      <c r="C15" s="102" t="s">
        <v>320</v>
      </c>
      <c r="D15" s="102" t="s">
        <v>318</v>
      </c>
      <c r="E15" s="2" t="s">
        <v>295</v>
      </c>
      <c r="F15" s="102" t="s">
        <v>321</v>
      </c>
    </row>
    <row r="16">
      <c r="A16" s="2">
        <v>15.0</v>
      </c>
      <c r="B16" s="2" t="s">
        <v>275</v>
      </c>
      <c r="C16" s="2" t="s">
        <v>322</v>
      </c>
      <c r="D16" s="2" t="s">
        <v>323</v>
      </c>
      <c r="E16" s="2" t="s">
        <v>282</v>
      </c>
      <c r="F16" s="35" t="s">
        <v>324</v>
      </c>
    </row>
    <row r="17">
      <c r="A17" s="2">
        <v>16.0</v>
      </c>
      <c r="B17" s="2" t="s">
        <v>325</v>
      </c>
      <c r="C17" s="2" t="s">
        <v>326</v>
      </c>
      <c r="D17" s="2" t="s">
        <v>327</v>
      </c>
      <c r="E17" s="2" t="s">
        <v>278</v>
      </c>
      <c r="F17" s="35" t="s">
        <v>328</v>
      </c>
    </row>
    <row r="18">
      <c r="A18" s="2">
        <v>17.0</v>
      </c>
      <c r="B18" s="2" t="s">
        <v>325</v>
      </c>
      <c r="C18" s="2" t="s">
        <v>329</v>
      </c>
      <c r="D18" s="2" t="s">
        <v>327</v>
      </c>
      <c r="E18" s="35" t="s">
        <v>278</v>
      </c>
      <c r="F18" s="35" t="s">
        <v>330</v>
      </c>
    </row>
    <row r="19">
      <c r="A19" s="2">
        <v>18.0</v>
      </c>
      <c r="B19" s="2" t="s">
        <v>325</v>
      </c>
      <c r="C19" s="2" t="s">
        <v>331</v>
      </c>
      <c r="D19" s="2" t="s">
        <v>332</v>
      </c>
      <c r="E19" s="35" t="s">
        <v>295</v>
      </c>
      <c r="F19" s="35" t="s">
        <v>333</v>
      </c>
    </row>
    <row r="20">
      <c r="A20" s="2">
        <v>19.0</v>
      </c>
      <c r="B20" s="2" t="s">
        <v>325</v>
      </c>
      <c r="C20" s="2" t="s">
        <v>334</v>
      </c>
      <c r="D20" s="35" t="s">
        <v>288</v>
      </c>
      <c r="E20" s="35" t="s">
        <v>295</v>
      </c>
      <c r="F20" s="35" t="s">
        <v>335</v>
      </c>
    </row>
    <row r="21">
      <c r="A21" s="2">
        <v>20.0</v>
      </c>
      <c r="B21" s="2" t="s">
        <v>325</v>
      </c>
      <c r="C21" s="2" t="s">
        <v>336</v>
      </c>
      <c r="D21" s="2" t="s">
        <v>337</v>
      </c>
      <c r="E21" s="35" t="s">
        <v>295</v>
      </c>
      <c r="F21" s="35" t="s">
        <v>338</v>
      </c>
    </row>
    <row r="22">
      <c r="A22" s="2">
        <v>21.0</v>
      </c>
      <c r="B22" s="35" t="s">
        <v>325</v>
      </c>
      <c r="C22" s="35" t="s">
        <v>339</v>
      </c>
      <c r="D22" s="35" t="s">
        <v>340</v>
      </c>
      <c r="E22" s="35" t="s">
        <v>278</v>
      </c>
      <c r="F22" s="35" t="s">
        <v>341</v>
      </c>
    </row>
    <row r="23">
      <c r="A23" s="2">
        <v>22.0</v>
      </c>
      <c r="B23" s="2" t="s">
        <v>325</v>
      </c>
      <c r="C23" s="35" t="s">
        <v>342</v>
      </c>
      <c r="D23" s="35" t="s">
        <v>343</v>
      </c>
      <c r="E23" s="35" t="s">
        <v>278</v>
      </c>
      <c r="F23" s="35" t="s">
        <v>344</v>
      </c>
    </row>
    <row r="24">
      <c r="A24" s="2">
        <v>23.0</v>
      </c>
      <c r="B24" s="2" t="s">
        <v>325</v>
      </c>
      <c r="C24" s="35" t="s">
        <v>345</v>
      </c>
      <c r="D24" s="35" t="s">
        <v>346</v>
      </c>
      <c r="E24" s="35" t="s">
        <v>278</v>
      </c>
      <c r="F24" s="35" t="s">
        <v>347</v>
      </c>
    </row>
    <row r="25">
      <c r="A25" s="2">
        <v>24.0</v>
      </c>
      <c r="B25" s="2" t="s">
        <v>325</v>
      </c>
      <c r="C25" s="35" t="s">
        <v>348</v>
      </c>
      <c r="D25" s="35" t="s">
        <v>337</v>
      </c>
      <c r="E25" s="35" t="s">
        <v>278</v>
      </c>
      <c r="F25" s="35" t="s">
        <v>349</v>
      </c>
    </row>
    <row r="26">
      <c r="A26" s="2">
        <v>25.0</v>
      </c>
      <c r="B26" s="2" t="s">
        <v>325</v>
      </c>
      <c r="C26" s="35" t="s">
        <v>350</v>
      </c>
      <c r="D26" s="35" t="s">
        <v>351</v>
      </c>
      <c r="E26" s="35" t="s">
        <v>295</v>
      </c>
      <c r="F26" s="35" t="s">
        <v>352</v>
      </c>
    </row>
    <row r="27">
      <c r="A27" s="2">
        <v>26.0</v>
      </c>
      <c r="B27" s="2" t="s">
        <v>325</v>
      </c>
      <c r="C27" s="35" t="s">
        <v>353</v>
      </c>
      <c r="D27" s="35" t="s">
        <v>354</v>
      </c>
      <c r="E27" s="35" t="s">
        <v>278</v>
      </c>
      <c r="F27" s="35" t="s">
        <v>355</v>
      </c>
    </row>
    <row r="28">
      <c r="A28" s="2">
        <v>27.0</v>
      </c>
      <c r="B28" s="2" t="s">
        <v>325</v>
      </c>
      <c r="C28" s="35" t="s">
        <v>356</v>
      </c>
      <c r="D28" s="35" t="s">
        <v>357</v>
      </c>
      <c r="E28" s="35" t="s">
        <v>312</v>
      </c>
      <c r="F28" s="35" t="s">
        <v>358</v>
      </c>
    </row>
    <row r="29">
      <c r="A29" s="2">
        <v>28.0</v>
      </c>
      <c r="B29" s="2" t="s">
        <v>325</v>
      </c>
      <c r="C29" s="35" t="s">
        <v>359</v>
      </c>
      <c r="D29" s="35" t="s">
        <v>360</v>
      </c>
      <c r="E29" s="35" t="s">
        <v>278</v>
      </c>
      <c r="F29" s="35" t="s">
        <v>361</v>
      </c>
    </row>
    <row r="30">
      <c r="A30" s="2">
        <v>29.0</v>
      </c>
      <c r="B30" s="2" t="s">
        <v>325</v>
      </c>
      <c r="C30" s="35" t="s">
        <v>362</v>
      </c>
      <c r="D30" s="35" t="s">
        <v>332</v>
      </c>
      <c r="E30" s="35" t="s">
        <v>278</v>
      </c>
      <c r="F30" s="35" t="s">
        <v>363</v>
      </c>
    </row>
    <row r="31">
      <c r="A31" s="2">
        <v>30.0</v>
      </c>
      <c r="B31" s="35" t="s">
        <v>275</v>
      </c>
      <c r="C31" s="35" t="s">
        <v>364</v>
      </c>
      <c r="D31" s="35" t="s">
        <v>365</v>
      </c>
      <c r="E31" s="35" t="s">
        <v>278</v>
      </c>
      <c r="F31" s="35" t="s">
        <v>366</v>
      </c>
    </row>
    <row r="32">
      <c r="A32" s="2"/>
      <c r="B32" s="2"/>
      <c r="C32" s="35"/>
      <c r="D32" s="35"/>
      <c r="E32" s="35"/>
      <c r="F32" s="35"/>
    </row>
    <row r="33">
      <c r="A33" s="2"/>
      <c r="B33" s="2"/>
      <c r="C33" s="35"/>
      <c r="D33" s="35"/>
      <c r="E33" s="35"/>
      <c r="F33" s="35"/>
    </row>
    <row r="34">
      <c r="A34" s="2"/>
      <c r="B34" s="2"/>
      <c r="C34" s="35"/>
      <c r="D34" s="35"/>
      <c r="E34" s="35"/>
      <c r="F34" s="35"/>
    </row>
    <row r="35">
      <c r="A35" s="2"/>
      <c r="B35" s="2"/>
      <c r="C35" s="35"/>
      <c r="D35" s="35"/>
      <c r="E35" s="35"/>
      <c r="F35" s="35"/>
    </row>
    <row r="36">
      <c r="A36" s="2"/>
      <c r="B36" s="2"/>
      <c r="C36" s="35"/>
      <c r="D36" s="35"/>
      <c r="E36" s="35"/>
      <c r="F36" s="35"/>
    </row>
    <row r="37">
      <c r="A37" s="2"/>
      <c r="B37" s="2"/>
      <c r="C37" s="35"/>
      <c r="D37" s="35"/>
      <c r="E37" s="35"/>
      <c r="F37" s="35"/>
    </row>
    <row r="38">
      <c r="A38" s="2"/>
      <c r="B38" s="2"/>
      <c r="C38" s="35"/>
      <c r="D38" s="35"/>
      <c r="E38" s="35"/>
      <c r="F38" s="35"/>
    </row>
    <row r="39">
      <c r="A39" s="2"/>
      <c r="B39" s="2"/>
      <c r="C39" s="35"/>
      <c r="D39" s="35"/>
      <c r="E39" s="35"/>
      <c r="F39" s="35"/>
    </row>
    <row r="40">
      <c r="A40" s="2"/>
      <c r="B40" s="2"/>
      <c r="C40" s="35"/>
      <c r="D40" s="35"/>
      <c r="E40" s="35"/>
      <c r="F40" s="35"/>
    </row>
    <row r="41">
      <c r="A41" s="2"/>
      <c r="B41" s="2"/>
      <c r="C41" s="35"/>
      <c r="D41" s="35"/>
      <c r="E41" s="35"/>
      <c r="F41" s="35"/>
    </row>
    <row r="42">
      <c r="A42" s="2"/>
      <c r="B42" s="2"/>
      <c r="C42" s="35"/>
      <c r="D42" s="35"/>
      <c r="E42" s="35"/>
      <c r="F42" s="35"/>
    </row>
    <row r="43">
      <c r="A43" s="2"/>
      <c r="B43" s="2"/>
      <c r="C43" s="35"/>
      <c r="D43" s="35"/>
      <c r="E43" s="35"/>
      <c r="F43" s="35"/>
    </row>
    <row r="44">
      <c r="A44" s="2"/>
      <c r="B44" s="2"/>
      <c r="C44" s="35"/>
      <c r="D44" s="35"/>
      <c r="E44" s="35"/>
      <c r="F44" s="35"/>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3" t="str">
        <f>'Project Team'!A1</f>
        <v>Last Name</v>
      </c>
      <c r="B1" s="103" t="str">
        <f>'Project Team'!B1</f>
        <v>First Name</v>
      </c>
      <c r="C1" s="104" t="s">
        <v>367</v>
      </c>
      <c r="D1" s="105"/>
      <c r="E1" s="106"/>
      <c r="F1" s="107"/>
      <c r="G1" s="108"/>
      <c r="H1" s="108"/>
    </row>
    <row r="2">
      <c r="A2" s="109" t="str">
        <f>'Project Team'!A2</f>
        <v>Fatima</v>
      </c>
      <c r="B2" s="109" t="str">
        <f>'Project Team'!B2</f>
        <v>Qiblatain</v>
      </c>
      <c r="C2" s="110">
        <v>5.0</v>
      </c>
      <c r="D2" s="111"/>
      <c r="E2" s="112">
        <f>average(C2:C10)</f>
        <v>5</v>
      </c>
      <c r="F2" s="113" t="str">
        <f>if(stdev(C2:C7) &gt; 0,"NOK", "OK")</f>
        <v>OK</v>
      </c>
      <c r="G2" s="114"/>
      <c r="H2" s="114"/>
    </row>
    <row r="3">
      <c r="A3" s="115" t="str">
        <f>'Project Team'!A3</f>
        <v>Huy</v>
      </c>
      <c r="B3" s="115" t="str">
        <f>'Project Team'!B3</f>
        <v>Christoph</v>
      </c>
      <c r="C3" s="110"/>
      <c r="D3" s="116"/>
      <c r="G3" s="117"/>
      <c r="H3" s="117"/>
    </row>
    <row r="4">
      <c r="A4" s="109" t="str">
        <f>'Project Team'!A4</f>
        <v>Raza</v>
      </c>
      <c r="B4" s="109" t="str">
        <f>'Project Team'!B4</f>
        <v>Asad</v>
      </c>
      <c r="C4" s="110">
        <v>5.0</v>
      </c>
      <c r="D4" s="111"/>
      <c r="G4" s="114"/>
      <c r="H4" s="114"/>
    </row>
    <row r="5">
      <c r="A5" s="115" t="str">
        <f>'Project Team'!A5</f>
        <v>Jokiel</v>
      </c>
      <c r="B5" s="115" t="str">
        <f>'Project Team'!B5</f>
        <v>Rene</v>
      </c>
      <c r="C5" s="110"/>
      <c r="D5" s="118"/>
      <c r="E5" s="118"/>
      <c r="F5" s="118"/>
      <c r="G5" s="117"/>
      <c r="H5" s="117"/>
    </row>
    <row r="6">
      <c r="A6" s="109" t="str">
        <f>'Project Team'!A6</f>
        <v>Mosler</v>
      </c>
      <c r="B6" s="109" t="str">
        <f>'Project Team'!B6</f>
        <v>Carl</v>
      </c>
      <c r="C6" s="110"/>
      <c r="D6" s="119"/>
      <c r="E6" s="120">
        <v>0.0</v>
      </c>
      <c r="F6" s="121" t="s">
        <v>368</v>
      </c>
      <c r="G6" s="114"/>
      <c r="H6" s="114"/>
    </row>
    <row r="7">
      <c r="A7" s="115" t="str">
        <f>'Project Team'!A7</f>
        <v>Vineesh</v>
      </c>
      <c r="B7" s="115" t="str">
        <f>'Project Team'!B7</f>
        <v>Koppay</v>
      </c>
      <c r="C7" s="110">
        <v>5.0</v>
      </c>
      <c r="D7" s="118"/>
      <c r="E7" s="120">
        <v>1.0</v>
      </c>
      <c r="F7" s="121" t="s">
        <v>369</v>
      </c>
      <c r="G7" s="117"/>
      <c r="H7" s="117"/>
    </row>
    <row r="8">
      <c r="A8" s="109" t="str">
        <f>'Project Team'!A8</f>
        <v>Moeez</v>
      </c>
      <c r="B8" s="109" t="str">
        <f>'Project Team'!B8</f>
        <v>Abdul</v>
      </c>
      <c r="C8" s="110">
        <v>5.0</v>
      </c>
      <c r="D8" s="119"/>
      <c r="E8" s="120">
        <v>2.0</v>
      </c>
      <c r="F8" s="121" t="s">
        <v>370</v>
      </c>
      <c r="G8" s="114"/>
      <c r="H8" s="114"/>
    </row>
    <row r="9">
      <c r="A9" s="115" t="str">
        <f>'Project Team'!A9</f>
        <v>Thakur</v>
      </c>
      <c r="B9" s="115" t="str">
        <f>'Project Team'!B9</f>
        <v>Shikhar</v>
      </c>
      <c r="C9" s="110">
        <v>5.0</v>
      </c>
      <c r="D9" s="118"/>
      <c r="E9" s="120">
        <v>3.0</v>
      </c>
      <c r="F9" s="121" t="s">
        <v>371</v>
      </c>
      <c r="G9" s="117"/>
      <c r="H9" s="117"/>
    </row>
    <row r="10">
      <c r="A10" s="109" t="str">
        <f>'Project Team'!A10</f>
        <v>Dhruvin</v>
      </c>
      <c r="B10" s="109" t="str">
        <f>'Project Team'!B10</f>
        <v>Vekariya</v>
      </c>
      <c r="C10" s="110">
        <v>5.0</v>
      </c>
      <c r="D10" s="119"/>
      <c r="E10" s="120">
        <v>5.0</v>
      </c>
      <c r="F10" s="121" t="s">
        <v>372</v>
      </c>
      <c r="G10" s="114"/>
      <c r="H10" s="114"/>
    </row>
    <row r="11">
      <c r="A11" s="122" t="s">
        <v>63</v>
      </c>
      <c r="B11" s="122" t="s">
        <v>64</v>
      </c>
      <c r="C11" s="110">
        <v>5.0</v>
      </c>
      <c r="D11" s="118"/>
      <c r="E11" s="120">
        <v>8.0</v>
      </c>
      <c r="F11" s="121" t="s">
        <v>373</v>
      </c>
      <c r="G11" s="117"/>
      <c r="H11" s="117"/>
    </row>
    <row r="12">
      <c r="A12" s="109"/>
      <c r="B12" s="109"/>
      <c r="C12" s="110"/>
      <c r="D12" s="119"/>
      <c r="E12" s="120">
        <v>13.0</v>
      </c>
      <c r="F12" s="121" t="s">
        <v>374</v>
      </c>
      <c r="G12" s="114"/>
      <c r="H12" s="114"/>
    </row>
    <row r="13">
      <c r="A13" s="115"/>
      <c r="B13" s="115"/>
      <c r="C13" s="118"/>
      <c r="D13" s="118"/>
      <c r="E13" s="118"/>
      <c r="F13" s="118"/>
      <c r="G13" s="117"/>
      <c r="H13" s="117"/>
    </row>
    <row r="14">
      <c r="A14" s="123" t="s">
        <v>375</v>
      </c>
      <c r="B14" s="124"/>
      <c r="C14" s="124"/>
      <c r="D14" s="124"/>
      <c r="E14" s="124"/>
      <c r="F14" s="124"/>
      <c r="G14" s="124"/>
      <c r="H14" s="124"/>
    </row>
    <row r="15">
      <c r="A15" s="125"/>
      <c r="B15" s="125"/>
      <c r="C15" s="125"/>
      <c r="D15" s="125"/>
      <c r="E15" s="125"/>
      <c r="F15" s="125"/>
      <c r="G15" s="125"/>
      <c r="H15" s="125"/>
    </row>
    <row r="16">
      <c r="A16" s="126" t="s">
        <v>376</v>
      </c>
      <c r="B16" s="127"/>
      <c r="C16" s="127"/>
      <c r="D16" s="127"/>
      <c r="E16" s="127"/>
      <c r="F16" s="127"/>
      <c r="G16" s="127"/>
      <c r="H16" s="127"/>
    </row>
    <row r="17">
      <c r="A17" s="128" t="s">
        <v>377</v>
      </c>
      <c r="B17" s="125"/>
      <c r="C17" s="125"/>
      <c r="D17" s="125"/>
      <c r="E17" s="125"/>
      <c r="F17" s="125"/>
      <c r="G17" s="125"/>
      <c r="H17" s="125"/>
    </row>
    <row r="18">
      <c r="A18" s="126" t="s">
        <v>378</v>
      </c>
      <c r="B18" s="127"/>
      <c r="C18" s="127"/>
      <c r="D18" s="127"/>
      <c r="E18" s="127"/>
      <c r="F18" s="127"/>
      <c r="G18" s="127"/>
      <c r="H18" s="127"/>
    </row>
    <row r="19">
      <c r="A19" s="125"/>
      <c r="B19" s="125"/>
      <c r="C19" s="125"/>
      <c r="D19" s="125"/>
      <c r="E19" s="125"/>
      <c r="F19" s="125"/>
      <c r="G19" s="125"/>
      <c r="H19" s="125"/>
    </row>
    <row r="20">
      <c r="A20" s="127"/>
      <c r="B20" s="127"/>
      <c r="C20" s="127"/>
      <c r="D20" s="127"/>
      <c r="E20" s="127"/>
      <c r="F20" s="127"/>
      <c r="G20" s="127"/>
      <c r="H20" s="127"/>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3" max="13" width="24.75"/>
  </cols>
  <sheetData>
    <row r="1">
      <c r="A1" s="42" t="s">
        <v>153</v>
      </c>
      <c r="B1" s="4" t="s">
        <v>204</v>
      </c>
      <c r="C1" s="4" t="str">
        <f>"Average Realized (" &amp; ROUND(AVERAGE(B2:B16), 0) &amp; " SP/s)"</f>
        <v>Average Realized (23 SP/s)</v>
      </c>
      <c r="E1" s="35" t="s">
        <v>379</v>
      </c>
      <c r="F1" s="48" t="s">
        <v>165</v>
      </c>
      <c r="G1" s="49" t="s">
        <v>166</v>
      </c>
      <c r="H1" s="50" t="s">
        <v>167</v>
      </c>
      <c r="I1" s="51" t="s">
        <v>168</v>
      </c>
      <c r="J1" s="51" t="s">
        <v>169</v>
      </c>
      <c r="K1" s="51" t="s">
        <v>170</v>
      </c>
      <c r="L1" s="51" t="s">
        <v>171</v>
      </c>
      <c r="M1" s="129" t="s">
        <v>380</v>
      </c>
    </row>
    <row r="2">
      <c r="A2" s="43">
        <v>1.0</v>
      </c>
      <c r="B2" s="43">
        <f>'Velocity Tracking'!B2</f>
        <v>1</v>
      </c>
      <c r="C2" s="130">
        <f t="shared" ref="C2:C15" si="1">AVERAGE($B$2:$B$16)</f>
        <v>22.66666667</v>
      </c>
      <c r="F2" s="52"/>
      <c r="G2" s="53"/>
      <c r="H2" s="54"/>
      <c r="I2" s="54"/>
      <c r="J2" s="54"/>
      <c r="K2" s="54"/>
      <c r="L2" s="54"/>
      <c r="M2" s="131"/>
    </row>
    <row r="3">
      <c r="A3" s="43">
        <f t="shared" ref="A3:A15" si="2">A2+1</f>
        <v>2</v>
      </c>
      <c r="B3" s="43">
        <f>'Velocity Tracking'!B3</f>
        <v>12</v>
      </c>
      <c r="C3" s="130">
        <f t="shared" si="1"/>
        <v>22.66666667</v>
      </c>
      <c r="F3" s="55" t="s">
        <v>172</v>
      </c>
      <c r="G3" s="56"/>
      <c r="H3" s="57"/>
      <c r="I3" s="57"/>
      <c r="J3" s="57"/>
      <c r="K3" s="57"/>
      <c r="L3" s="57"/>
      <c r="M3" s="132"/>
    </row>
    <row r="4">
      <c r="A4" s="43">
        <f t="shared" si="2"/>
        <v>3</v>
      </c>
      <c r="B4" s="43">
        <f>'Velocity Tracking'!B4</f>
        <v>18</v>
      </c>
      <c r="C4" s="130">
        <f t="shared" si="1"/>
        <v>22.66666667</v>
      </c>
      <c r="F4" s="52"/>
      <c r="G4" s="53"/>
      <c r="H4" s="54"/>
      <c r="I4" s="54"/>
      <c r="J4" s="54"/>
      <c r="K4" s="54"/>
      <c r="L4" s="54"/>
      <c r="M4" s="131"/>
    </row>
    <row r="5">
      <c r="A5" s="43">
        <f t="shared" si="2"/>
        <v>4</v>
      </c>
      <c r="B5" s="43">
        <f>'Velocity Tracking'!B5</f>
        <v>36</v>
      </c>
      <c r="C5" s="130">
        <f t="shared" si="1"/>
        <v>22.66666667</v>
      </c>
      <c r="F5" s="58" t="s">
        <v>173</v>
      </c>
      <c r="G5" s="59"/>
      <c r="H5" s="30"/>
      <c r="I5" s="60">
        <f>SUM(I8:I15)</f>
        <v>120</v>
      </c>
      <c r="J5" s="60">
        <f>I5</f>
        <v>120</v>
      </c>
      <c r="K5" s="30"/>
      <c r="L5" s="30"/>
      <c r="M5" s="133">
        <f>I5/6</f>
        <v>20</v>
      </c>
    </row>
    <row r="6">
      <c r="A6" s="43">
        <f t="shared" si="2"/>
        <v>5</v>
      </c>
      <c r="B6" s="43">
        <f>'Velocity Tracking'!B6</f>
        <v>28</v>
      </c>
      <c r="C6" s="130">
        <f t="shared" si="1"/>
        <v>22.66666667</v>
      </c>
      <c r="F6" s="52"/>
      <c r="G6" s="53"/>
      <c r="H6" s="54"/>
      <c r="I6" s="54"/>
      <c r="J6" s="54"/>
      <c r="K6" s="54"/>
      <c r="L6" s="54"/>
      <c r="M6" s="131"/>
    </row>
    <row r="7">
      <c r="A7" s="43">
        <f t="shared" si="2"/>
        <v>6</v>
      </c>
      <c r="B7" s="43">
        <f>'Velocity Tracking'!B7</f>
        <v>21</v>
      </c>
      <c r="C7" s="130">
        <f t="shared" si="1"/>
        <v>22.66666667</v>
      </c>
      <c r="F7" s="61" t="s">
        <v>174</v>
      </c>
      <c r="G7" s="62"/>
      <c r="H7" s="63"/>
      <c r="I7" s="63"/>
      <c r="J7" s="63"/>
      <c r="K7" s="63"/>
      <c r="L7" s="63"/>
      <c r="M7" s="134"/>
    </row>
    <row r="8">
      <c r="A8" s="43">
        <f t="shared" si="2"/>
        <v>7</v>
      </c>
      <c r="B8" s="43">
        <f>'Velocity Tracking'!B8</f>
        <v>30</v>
      </c>
      <c r="C8" s="130">
        <f t="shared" si="1"/>
        <v>22.66666667</v>
      </c>
      <c r="F8" s="64" t="s">
        <v>174</v>
      </c>
      <c r="G8" s="53"/>
      <c r="H8" s="54"/>
      <c r="I8" s="54"/>
      <c r="J8" s="65" t="s">
        <v>169</v>
      </c>
      <c r="K8" s="54"/>
      <c r="L8" s="65" t="s">
        <v>171</v>
      </c>
      <c r="M8" s="135" t="str">
        <f>"Development Speed (≈" &amp; ROUND(M5, 0) &amp; " SP/s)"</f>
        <v>Development Speed (≈20 SP/s)</v>
      </c>
    </row>
    <row r="9">
      <c r="A9" s="43">
        <f t="shared" si="2"/>
        <v>8</v>
      </c>
      <c r="B9" s="43">
        <f>'Velocity Tracking'!B9</f>
        <v>18</v>
      </c>
      <c r="C9" s="130">
        <f t="shared" si="1"/>
        <v>22.66666667</v>
      </c>
      <c r="F9" s="66">
        <v>1.0</v>
      </c>
      <c r="G9" s="58"/>
      <c r="H9" s="30"/>
      <c r="I9" s="60">
        <f>'Mid-Project Release plan'!D9</f>
        <v>1</v>
      </c>
      <c r="J9" s="60">
        <f>'Mid-Project Release plan'!E9</f>
        <v>120</v>
      </c>
      <c r="K9" s="60">
        <f>'Mid-Project Release plan'!F9</f>
        <v>1</v>
      </c>
      <c r="L9" s="60">
        <f>'Mid-Project Release plan'!G9</f>
        <v>120</v>
      </c>
      <c r="M9" s="136">
        <f>$I$5</f>
        <v>120</v>
      </c>
    </row>
    <row r="10">
      <c r="A10" s="43">
        <f t="shared" si="2"/>
        <v>9</v>
      </c>
      <c r="B10" s="43">
        <f>'Velocity Tracking'!B10</f>
        <v>40</v>
      </c>
      <c r="C10" s="130">
        <f t="shared" si="1"/>
        <v>22.66666667</v>
      </c>
      <c r="F10" s="52">
        <f t="shared" ref="F10:F11" si="3">F9+1</f>
        <v>2</v>
      </c>
      <c r="G10" s="53"/>
      <c r="H10" s="54"/>
      <c r="I10" s="60">
        <f>'Mid-Project Release plan'!D10</f>
        <v>16</v>
      </c>
      <c r="J10" s="60">
        <f>'Mid-Project Release plan'!E10</f>
        <v>119</v>
      </c>
      <c r="K10" s="60">
        <f>'Mid-Project Release plan'!F10</f>
        <v>12</v>
      </c>
      <c r="L10" s="60">
        <f>'Mid-Project Release plan'!G10</f>
        <v>119</v>
      </c>
      <c r="M10" s="136">
        <f t="shared" ref="M10:M15" si="4">M9-$M$5</f>
        <v>100</v>
      </c>
    </row>
    <row r="11">
      <c r="A11" s="43">
        <f t="shared" si="2"/>
        <v>10</v>
      </c>
      <c r="B11" s="43" t="str">
        <f>'Velocity Tracking'!B11</f>
        <v/>
      </c>
      <c r="C11" s="130">
        <f t="shared" si="1"/>
        <v>22.66666667</v>
      </c>
      <c r="F11" s="66">
        <f t="shared" si="3"/>
        <v>3</v>
      </c>
      <c r="G11" s="58"/>
      <c r="H11" s="30"/>
      <c r="I11" s="60">
        <f>'Mid-Project Release plan'!D11</f>
        <v>19</v>
      </c>
      <c r="J11" s="60">
        <f>'Mid-Project Release plan'!E11</f>
        <v>103</v>
      </c>
      <c r="K11" s="60">
        <f>'Mid-Project Release plan'!F11</f>
        <v>18</v>
      </c>
      <c r="L11" s="60">
        <f>'Mid-Project Release plan'!G11</f>
        <v>107</v>
      </c>
      <c r="M11" s="136">
        <f t="shared" si="4"/>
        <v>80</v>
      </c>
    </row>
    <row r="12">
      <c r="A12" s="43">
        <f t="shared" si="2"/>
        <v>11</v>
      </c>
      <c r="B12" s="43" t="str">
        <f>'Velocity Tracking'!B12</f>
        <v/>
      </c>
      <c r="C12" s="130">
        <f t="shared" si="1"/>
        <v>22.66666667</v>
      </c>
      <c r="F12" s="68">
        <v>4.0</v>
      </c>
      <c r="G12" s="69"/>
      <c r="H12" s="54"/>
      <c r="I12" s="60">
        <f>'Mid-Project Release plan'!D12</f>
        <v>30</v>
      </c>
      <c r="J12" s="60">
        <f>'Mid-Project Release plan'!E12</f>
        <v>84</v>
      </c>
      <c r="K12" s="60">
        <f>'Mid-Project Release plan'!F12</f>
        <v>36</v>
      </c>
      <c r="L12" s="60">
        <f>'Mid-Project Release plan'!G12</f>
        <v>89</v>
      </c>
      <c r="M12" s="136">
        <f t="shared" si="4"/>
        <v>60</v>
      </c>
    </row>
    <row r="13">
      <c r="A13" s="43">
        <f t="shared" si="2"/>
        <v>12</v>
      </c>
      <c r="B13" s="43" t="str">
        <f>'Velocity Tracking'!B13</f>
        <v/>
      </c>
      <c r="C13" s="130">
        <f t="shared" si="1"/>
        <v>22.66666667</v>
      </c>
      <c r="F13" s="70">
        <v>5.0</v>
      </c>
      <c r="G13" s="58"/>
      <c r="H13" s="30"/>
      <c r="I13" s="60">
        <f>'Mid-Project Release plan'!D13</f>
        <v>29</v>
      </c>
      <c r="J13" s="60">
        <f>'Mid-Project Release plan'!E13</f>
        <v>54</v>
      </c>
      <c r="K13" s="60">
        <f>'Mid-Project Release plan'!F13</f>
        <v>28</v>
      </c>
      <c r="L13" s="60">
        <f>'Mid-Project Release plan'!G13</f>
        <v>53</v>
      </c>
      <c r="M13" s="136">
        <f t="shared" si="4"/>
        <v>40</v>
      </c>
    </row>
    <row r="14">
      <c r="A14" s="43">
        <f t="shared" si="2"/>
        <v>13</v>
      </c>
      <c r="B14" s="43" t="str">
        <f>'Velocity Tracking'!B14</f>
        <v/>
      </c>
      <c r="C14" s="130">
        <f t="shared" si="1"/>
        <v>22.66666667</v>
      </c>
      <c r="F14" s="71">
        <v>6.0</v>
      </c>
      <c r="I14" s="60">
        <f>'Mid-Project Release plan'!D14</f>
        <v>25</v>
      </c>
      <c r="J14" s="60">
        <f>'Mid-Project Release plan'!E14</f>
        <v>25</v>
      </c>
      <c r="K14" s="60">
        <f>'Mid-Project Release plan'!F14</f>
        <v>21</v>
      </c>
      <c r="L14" s="60">
        <f>'Mid-Project Release plan'!G14</f>
        <v>25</v>
      </c>
      <c r="M14" s="136">
        <f t="shared" si="4"/>
        <v>20</v>
      </c>
    </row>
    <row r="15">
      <c r="A15" s="43">
        <f t="shared" si="2"/>
        <v>14</v>
      </c>
      <c r="B15" s="43" t="str">
        <f>'Velocity Tracking'!B15</f>
        <v/>
      </c>
      <c r="C15" s="130">
        <f t="shared" si="1"/>
        <v>22.66666667</v>
      </c>
      <c r="F15" s="43"/>
      <c r="G15" s="3"/>
      <c r="H15" s="3"/>
      <c r="I15" s="60" t="str">
        <f>'Mid-Project Release plan'!D15</f>
        <v/>
      </c>
      <c r="J15" s="60" t="str">
        <f>'Mid-Project Release plan'!E15</f>
        <v/>
      </c>
      <c r="K15" s="60" t="str">
        <f>'Mid-Project Release plan'!F15</f>
        <v/>
      </c>
      <c r="L15" s="60" t="str">
        <f>'Mid-Project Release plan'!G15</f>
        <v/>
      </c>
      <c r="M15" s="136">
        <f t="shared" si="4"/>
        <v>0</v>
      </c>
    </row>
    <row r="16">
      <c r="A16" s="43"/>
      <c r="B16" s="43"/>
      <c r="C16" s="130"/>
    </row>
    <row r="18">
      <c r="E18" s="35" t="s">
        <v>381</v>
      </c>
      <c r="F18" s="48" t="s">
        <v>165</v>
      </c>
      <c r="G18" s="91" t="s">
        <v>166</v>
      </c>
      <c r="H18" s="50" t="s">
        <v>167</v>
      </c>
      <c r="I18" s="51" t="s">
        <v>168</v>
      </c>
      <c r="J18" s="51" t="s">
        <v>169</v>
      </c>
      <c r="K18" s="51" t="s">
        <v>170</v>
      </c>
      <c r="L18" s="51" t="s">
        <v>171</v>
      </c>
      <c r="M18" s="129" t="s">
        <v>380</v>
      </c>
    </row>
    <row r="19">
      <c r="F19" s="52"/>
      <c r="G19" s="54"/>
      <c r="H19" s="54"/>
      <c r="I19" s="54"/>
      <c r="J19" s="54"/>
      <c r="K19" s="54"/>
      <c r="L19" s="54"/>
      <c r="M19" s="131"/>
    </row>
    <row r="20">
      <c r="F20" s="55" t="s">
        <v>172</v>
      </c>
      <c r="G20" s="57"/>
      <c r="H20" s="57"/>
      <c r="I20" s="57"/>
      <c r="J20" s="57"/>
      <c r="K20" s="57"/>
      <c r="L20" s="57"/>
      <c r="M20" s="132"/>
    </row>
    <row r="21">
      <c r="F21" s="52"/>
      <c r="G21" s="54"/>
      <c r="H21" s="54"/>
      <c r="I21" s="54"/>
      <c r="J21" s="54"/>
      <c r="K21" s="54"/>
      <c r="L21" s="54"/>
      <c r="M21" s="131"/>
    </row>
    <row r="22">
      <c r="F22" s="58" t="s">
        <v>173</v>
      </c>
      <c r="G22" s="30"/>
      <c r="H22" s="30"/>
      <c r="I22" s="60">
        <f>sum(I25:I32)</f>
        <v>179</v>
      </c>
      <c r="J22" s="60">
        <f>I22</f>
        <v>179</v>
      </c>
      <c r="K22" s="30"/>
      <c r="L22" s="30"/>
      <c r="M22" s="133">
        <f>I22/7</f>
        <v>25.57142857</v>
      </c>
    </row>
    <row r="23">
      <c r="F23" s="52"/>
      <c r="G23" s="54"/>
      <c r="H23" s="54"/>
      <c r="I23" s="54"/>
      <c r="J23" s="54"/>
      <c r="K23" s="54"/>
      <c r="L23" s="54"/>
      <c r="M23" s="131"/>
    </row>
    <row r="24">
      <c r="F24" s="61" t="s">
        <v>174</v>
      </c>
      <c r="G24" s="92"/>
      <c r="H24" s="63"/>
      <c r="I24" s="63"/>
      <c r="J24" s="63"/>
      <c r="K24" s="63"/>
      <c r="L24" s="63"/>
      <c r="M24" s="134"/>
    </row>
    <row r="25">
      <c r="F25" s="52"/>
      <c r="G25" s="54"/>
      <c r="H25" s="54"/>
      <c r="I25" s="54"/>
      <c r="J25" s="93" t="s">
        <v>169</v>
      </c>
      <c r="L25" s="93" t="s">
        <v>171</v>
      </c>
      <c r="M25" s="135" t="str">
        <f>"Development Speed (≈" &amp; ROUND(M22, 0) &amp; " SP/s)"</f>
        <v>Development Speed (≈26 SP/s)</v>
      </c>
    </row>
    <row r="26">
      <c r="F26" s="70">
        <v>7.0</v>
      </c>
      <c r="G26" s="30"/>
      <c r="H26" s="30"/>
      <c r="I26" s="60">
        <f>'Final Project Release plan'!D9</f>
        <v>30</v>
      </c>
      <c r="J26" s="60">
        <f>'Final Project Release plan'!E9</f>
        <v>179</v>
      </c>
      <c r="K26" s="60">
        <f>'Final Project Release plan'!F9</f>
        <v>30</v>
      </c>
      <c r="L26" s="60">
        <f>'Final Project Release plan'!G9</f>
        <v>179</v>
      </c>
      <c r="M26" s="136">
        <f>$I$22</f>
        <v>179</v>
      </c>
    </row>
    <row r="27">
      <c r="F27" s="52">
        <f t="shared" ref="F27:F28" si="5">F26+1</f>
        <v>8</v>
      </c>
      <c r="G27" s="54"/>
      <c r="H27" s="54"/>
      <c r="I27" s="60">
        <f>'Final Project Release plan'!D10</f>
        <v>24</v>
      </c>
      <c r="J27" s="60">
        <f>'Final Project Release plan'!E10</f>
        <v>149</v>
      </c>
      <c r="K27" s="60">
        <f>'Final Project Release plan'!F10</f>
        <v>18</v>
      </c>
      <c r="L27" s="60">
        <f>'Final Project Release plan'!G10</f>
        <v>149</v>
      </c>
      <c r="M27" s="137">
        <f t="shared" ref="M27:M32" si="6">M26-$M$22</f>
        <v>153.4285714</v>
      </c>
    </row>
    <row r="28">
      <c r="F28" s="66">
        <f t="shared" si="5"/>
        <v>9</v>
      </c>
      <c r="G28" s="30"/>
      <c r="H28" s="30"/>
      <c r="I28" s="60">
        <f>'Final Project Release plan'!D11</f>
        <v>29</v>
      </c>
      <c r="J28" s="60">
        <f>'Final Project Release plan'!E11</f>
        <v>125</v>
      </c>
      <c r="K28" s="60">
        <f>'Final Project Release plan'!F11</f>
        <v>40</v>
      </c>
      <c r="L28" s="60">
        <f>'Final Project Release plan'!G11</f>
        <v>131</v>
      </c>
      <c r="M28" s="137">
        <f t="shared" si="6"/>
        <v>127.8571429</v>
      </c>
    </row>
    <row r="29">
      <c r="F29" s="68">
        <v>10.0</v>
      </c>
      <c r="G29" s="54"/>
      <c r="H29" s="54"/>
      <c r="I29" s="60">
        <f>'Final Project Release plan'!D12</f>
        <v>31</v>
      </c>
      <c r="J29" s="60">
        <f>'Final Project Release plan'!E12</f>
        <v>96</v>
      </c>
      <c r="K29" s="60">
        <f>'Final Project Release plan'!F12</f>
        <v>0</v>
      </c>
      <c r="L29" s="60">
        <f>'Final Project Release plan'!G12</f>
        <v>91</v>
      </c>
      <c r="M29" s="137">
        <f t="shared" si="6"/>
        <v>102.2857143</v>
      </c>
    </row>
    <row r="30">
      <c r="F30" s="66">
        <v>11.0</v>
      </c>
      <c r="G30" s="30"/>
      <c r="H30" s="30"/>
      <c r="I30" s="60">
        <f>'Final Project Release plan'!D13</f>
        <v>28</v>
      </c>
      <c r="J30" s="60">
        <f>'Final Project Release plan'!E13</f>
        <v>65</v>
      </c>
      <c r="K30" s="60">
        <f>'Final Project Release plan'!F13</f>
        <v>0</v>
      </c>
      <c r="L30" s="60">
        <f>'Final Project Release plan'!G13</f>
        <v>91</v>
      </c>
      <c r="M30" s="137">
        <f t="shared" si="6"/>
        <v>76.71428571</v>
      </c>
    </row>
    <row r="31">
      <c r="F31" s="68">
        <v>12.0</v>
      </c>
      <c r="G31" s="54"/>
      <c r="H31" s="54"/>
      <c r="I31" s="60">
        <f>'Final Project Release plan'!D14</f>
        <v>19</v>
      </c>
      <c r="J31" s="60">
        <f>'Final Project Release plan'!E14</f>
        <v>37</v>
      </c>
      <c r="K31" s="60">
        <f>'Final Project Release plan'!F14</f>
        <v>0</v>
      </c>
      <c r="L31" s="60">
        <f>'Final Project Release plan'!G14</f>
        <v>91</v>
      </c>
      <c r="M31" s="137">
        <f t="shared" si="6"/>
        <v>51.14285714</v>
      </c>
    </row>
    <row r="32">
      <c r="F32" s="66">
        <v>13.0</v>
      </c>
      <c r="G32" s="30"/>
      <c r="H32" s="30"/>
      <c r="I32" s="60">
        <f>'Final Project Release plan'!D15</f>
        <v>18</v>
      </c>
      <c r="J32" s="60">
        <f>'Final Project Release plan'!E15</f>
        <v>18</v>
      </c>
      <c r="K32" s="60">
        <f>'Final Project Release plan'!F15</f>
        <v>0</v>
      </c>
      <c r="L32" s="60">
        <f>'Final Project Release plan'!G15</f>
        <v>91</v>
      </c>
      <c r="M32" s="137">
        <f t="shared" si="6"/>
        <v>25.57142857</v>
      </c>
    </row>
    <row r="33">
      <c r="F33" s="68"/>
      <c r="G33" s="54"/>
      <c r="H33" s="54"/>
      <c r="L33" s="67"/>
      <c r="M33" s="137"/>
    </row>
  </sheetData>
  <drawing r:id="rId1"/>
  <tableParts count="3">
    <tablePart r:id="rId5"/>
    <tablePart r:id="rId6"/>
    <tablePart r:id="rId7"/>
  </tableParts>
</worksheet>
</file>