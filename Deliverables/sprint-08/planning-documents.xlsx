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Burndown Chart - Final Release" sheetId="13" r:id="rId16"/>
    <sheet state="visible" name="Definition of Done" sheetId="14" r:id="rId17"/>
    <sheet state="visible" name="Documentation" sheetId="15" r:id="rId18"/>
    <sheet state="visible" name="Bill of Materials" sheetId="16" r:id="rId19"/>
    <sheet state="visible" name="Planning Poker" sheetId="17" r:id="rId20"/>
    <sheet state="visible" name="Calculations" sheetId="18" r:id="rId21"/>
  </sheets>
  <definedNames/>
  <calcPr/>
</workbook>
</file>

<file path=xl/sharedStrings.xml><?xml version="1.0" encoding="utf-8"?>
<sst xmlns="http://schemas.openxmlformats.org/spreadsheetml/2006/main" count="557" uniqueCount="370">
  <si>
    <t>Project Name</t>
  </si>
  <si>
    <t>TaskOrbit Conversational Agent</t>
  </si>
  <si>
    <t>Online team meeting</t>
  </si>
  <si>
    <t>https://fau.zoom-x.de/j/65288966243?pwd=DnF4jxSAfJugyMmynzjE1BaaFprRbi.1</t>
  </si>
  <si>
    <t>Production system (if any)</t>
  </si>
  <si>
    <t>GCP</t>
  </si>
  <si>
    <t>Test system (if any)</t>
  </si>
  <si>
    <t>None</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</si>
  <si>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</si>
  <si>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</si>
  <si>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</si>
  <si>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</si>
  <si>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</si>
  <si>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</si>
  <si>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</si>
  <si>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</si>
  <si>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</si>
  <si>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</si>
  <si>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</si>
  <si>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</si>
  <si>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</si>
  <si>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</si>
  <si>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</si>
  <si>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</si>
  <si>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</si>
  <si>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</si>
  <si>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</si>
  <si>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</si>
  <si>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</si>
  <si>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</si>
  <si>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</si>
  <si>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</si>
  <si>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</si>
  <si>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</si>
  <si>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</si>
  <si>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</si>
  <si>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</si>
  <si>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</si>
  <si>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</si>
  <si>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</si>
  <si>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</si>
  <si>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</si>
  <si>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</si>
  <si>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</si>
  <si>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</si>
  <si>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</si>
  <si>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</si>
  <si>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</si>
  <si>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</si>
  <si>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</si>
  <si>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</si>
  <si>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</si>
  <si>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</si>
  <si>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</si>
  <si>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</si>
  <si>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</si>
  <si>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</si>
  <si>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</si>
  <si>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</si>
  <si>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</si>
  <si>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</si>
  <si>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</si>
  <si>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</si>
  <si>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</si>
  <si>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</si>
  <si>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</si>
  <si>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</si>
  <si>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</si>
  <si>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</si>
  <si>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</si>
  <si>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</si>
  <si>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</si>
  <si>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</si>
  <si>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</si>
  <si>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</si>
  <si>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</si>
  <si>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</si>
  <si>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</si>
  <si>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</si>
  <si>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</si>
  <si>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</si>
  <si>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</si>
  <si>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</si>
  <si>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</si>
  <si>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</si>
  <si>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</si>
  <si>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</si>
  <si>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</si>
  <si>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</si>
  <si>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</si>
  <si>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</si>
  <si>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</si>
  <si>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</si>
  <si>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</si>
  <si>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</si>
  <si>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</si>
  <si>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</si>
  <si>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</si>
  <si>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</si>
  <si>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</si>
  <si>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</si>
  <si>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</si>
  <si>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</si>
  <si>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</si>
  <si>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</si>
  <si>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</si>
  <si>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</si>
  <si>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</si>
  <si>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</si>
  <si>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</si>
  <si>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</si>
  <si>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</si>
  <si>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</si>
  <si>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</si>
  <si>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</si>
  <si>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</si>
  <si>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</si>
  <si>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</si>
  <si>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</si>
  <si>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</si>
  <si>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</si>
  <si>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</si>
  <si>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</si>
  <si>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</si>
  <si>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</si>
  <si>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</si>
  <si>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</si>
  <si>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</si>
  <si>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</si>
  <si>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</si>
  <si>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</si>
  <si>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</si>
  <si>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</si>
  <si>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</si>
  <si>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</si>
  <si>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External Tool</t>
  </si>
  <si>
    <t>An external integration, API or function invoked by the agent to interact with outside services, databases or systems</t>
  </si>
  <si>
    <t>Internal Tool</t>
  </si>
  <si>
    <t>An internal capability, native logic or workflow executed within the agent's system to process information or manage tasks</t>
  </si>
  <si>
    <t>Conversation</t>
  </si>
  <si>
    <t>A continuous spoken or written dialogue interaction between a user and an agent, focused on achieving specific tasks</t>
  </si>
  <si>
    <t>User Interruption</t>
  </si>
  <si>
    <t>The event where a user starts speaking while agent is actively outputting audio, signaling to stop talking and listen to the new input</t>
  </si>
  <si>
    <t>Sprint #</t>
  </si>
  <si>
    <t>Sprint goal</t>
  </si>
  <si>
    <t>Optional</t>
  </si>
  <si>
    <t>Persistent Single-Prompt Agent Prototype</t>
  </si>
  <si>
    <t xml:space="preserve">Cloud Deployment/Migration &amp; System Robustness </t>
  </si>
  <si>
    <t>Advance core platform capabilities &amp; foundation for multi-agent workflow orchestration</t>
  </si>
  <si>
    <t>Refine agent interaction quality, tool integration &amp; production stability</t>
  </si>
  <si>
    <t>Conditional Multi-Agent Workflows, Unified Processing &amp; External Tool Integration</t>
  </si>
  <si>
    <t>Open-Source Model Integration  &amp; Evaluation Framework</t>
  </si>
  <si>
    <t>System Hardening &amp; Benchmarking</t>
  </si>
  <si>
    <t>Performance Optimization &amp; Demo Day Prep</t>
  </si>
  <si>
    <t>Handover &amp; Documentation</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</si>
  <si>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</si>
  <si>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</si>
  <si>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</si>
  <si>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</si>
  <si>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</si>
  <si>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</si>
  <si>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</si>
  <si>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</si>
  <si>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</si>
  <si>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</si>
  <si>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</si>
  <si>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</si>
  <si>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</si>
  <si>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</si>
  <si>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</si>
  <si>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</si>
  <si>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</si>
  <si>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</si>
  <si>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</si>
  <si>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</si>
  <si>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</si>
  <si>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</si>
  <si>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</si>
  <si>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</si>
  <si>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</si>
  <si>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</si>
  <si>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</si>
  <si>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</si>
  <si>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</si>
  <si>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</si>
  <si>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</si>
  <si>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</si>
  <si>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</si>
  <si>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</si>
  <si>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User, Design &amp; Build Documentation #74</t>
  </si>
  <si>
    <t>Slot Extraction for Structured Task Inputs #70</t>
  </si>
  <si>
    <t>Integrate Cloud Environment with IaC #21</t>
  </si>
  <si>
    <t>Agent Persona Guardrails #69</t>
  </si>
  <si>
    <t>PLEASE CREATE THE BURNDOWN CHART ON A NEW TAB USING THE DATA FROM THIS TAB</t>
  </si>
  <si>
    <t>Story Points Realized</t>
  </si>
  <si>
    <t>Story Points Estimate</t>
  </si>
  <si>
    <t>PLEASE CREATE THE VELOCITY CHART ON A NEW TAB USING THE DATA FROM THIS TAB</t>
  </si>
  <si>
    <t>Agent Config not persistant through text and voice prompts #99</t>
  </si>
  <si>
    <t>Agent/LLM Memory Safeguards #56</t>
  </si>
  <si>
    <t>Voice input splits into multiple bubbles &amp; numbers/symbols are formatted wrong #102</t>
  </si>
  <si>
    <t>Agent Routing Foundation #8</t>
  </si>
  <si>
    <t>[PROD] Agent config not loaded correctly #100</t>
  </si>
  <si>
    <t>Livekit - Session Limit #112</t>
  </si>
  <si>
    <t>Generic Adapter for external Tools #66</t>
  </si>
  <si>
    <t>Stream LLM Responses #57</t>
  </si>
  <si>
    <t>[Tools] End Call #116</t>
  </si>
  <si>
    <t>Critical Action Confirmation #49</t>
  </si>
  <si>
    <t>Microphone Mute interrupts Agent TTS output #101</t>
  </si>
  <si>
    <t>Provider Model Dropdown #87</t>
  </si>
  <si>
    <t>Conditional Workflow Engine #71</t>
  </si>
  <si>
    <t>[PROD] Grafana Backend Fix #103</t>
  </si>
  <si>
    <t>LLM External Tool Execution #44</t>
  </si>
  <si>
    <t>Mute Agent Output #107</t>
  </si>
  <si>
    <t>Custom Agent Routing #129</t>
  </si>
  <si>
    <t>Cloud Open Source Inference Server #67</t>
  </si>
  <si>
    <t>Benchmarking Environment #86</t>
  </si>
  <si>
    <t>Grafana OS Model Monitoring integration</t>
  </si>
  <si>
    <t>Remove Legacy Text Processing Pipeline #126</t>
  </si>
  <si>
    <t>Component Benchmarking #68</t>
  </si>
  <si>
    <t>Benchmark Grafana Integration</t>
  </si>
  <si>
    <t>Issue with the greeting message</t>
  </si>
  <si>
    <t>Prevent chat bubble fragmentation during continuous speech</t>
  </si>
  <si>
    <t>Issue with the text input (not being connected to the worker)</t>
  </si>
  <si>
    <t>Mutlilanguage Support</t>
  </si>
  <si>
    <t>Final Model Selection</t>
  </si>
  <si>
    <t>Prepare demo day slide</t>
  </si>
  <si>
    <t>Create a demo video</t>
  </si>
  <si>
    <t>Final Model Benchmark</t>
  </si>
  <si>
    <t>Clean Up UI</t>
  </si>
  <si>
    <t>Smart Fallback and visualisation if provider is down or usage limit reached</t>
  </si>
  <si>
    <t>Smart Agent Routing (Latency)</t>
  </si>
  <si>
    <t>Finalize user, (technical) design and build/deploy documentation</t>
  </si>
  <si>
    <t xml:space="preserve">Create project report </t>
  </si>
  <si>
    <t>Final Bug Fixes</t>
  </si>
  <si>
    <t>Annotate and clean up Code</t>
  </si>
  <si>
    <t>Prepare Demoday presentation</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</si>
  <si>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</si>
  <si>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</si>
  <si>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</si>
  <si>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</si>
  <si>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</si>
  <si>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</si>
  <si>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</si>
  <si>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</si>
  <si>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</si>
  <si>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</si>
  <si>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</si>
  <si>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</si>
  <si>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</si>
  <si>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</si>
  <si>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</si>
  <si>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</si>
  <si>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</si>
  <si>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</si>
  <si>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</si>
  <si>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</si>
  <si>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</si>
  <si>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</si>
  <si>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</si>
  <si>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</si>
  <si>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</si>
  <si>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</si>
  <si>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</si>
  <si>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</si>
  <si>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</si>
  <si>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</si>
  <si>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</si>
  <si>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</si>
  <si>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</si>
  <si>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</si>
  <si>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</si>
  <si>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</si>
  <si>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</si>
  <si>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</si>
  <si>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</si>
  <si>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</si>
  <si>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</si>
  <si>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</si>
  <si>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</si>
  <si>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</si>
  <si>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</si>
  <si>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</si>
  <si>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</si>
  <si>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</si>
  <si>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</si>
  <si>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</si>
  <si>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</si>
  <si>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</si>
  <si>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</si>
  <si>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</si>
  <si>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</si>
  <si>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</si>
  <si>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</si>
  <si>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</si>
  <si>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</si>
  <si>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</si>
  <si>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</si>
  <si>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</si>
  <si>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prometheus-fastapi-instrumentator</t>
  </si>
  <si>
    <t>^7.0.0</t>
  </si>
  <si>
    <t>ISC</t>
  </si>
  <si>
    <t>FastAPI middleware for Prometheus metrics</t>
  </si>
  <si>
    <t xml:space="preserve">prometheus-client </t>
  </si>
  <si>
    <t>^0.22.0</t>
  </si>
  <si>
    <t>Official Prometheus instrumentation client</t>
  </si>
  <si>
    <t>opentelemetry-api</t>
  </si>
  <si>
    <t>&gt;=1.27.0</t>
  </si>
  <si>
    <t>OpenTelemetry tracing and metrics API</t>
  </si>
  <si>
    <t>opentelemetry-sdk</t>
  </si>
  <si>
    <t>OpenTelemetry reference implementation SDK</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</si>
  <si>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</si>
  <si>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</si>
  <si>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</si>
  <si>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</si>
  <si>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</si>
  <si>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</si>
  <si>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</si>
  <si>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</si>
  <si>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</si>
  <si>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</si>
  <si>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</si>
  <si>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</si>
  <si>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</si>
  <si>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</si>
  <si>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</si>
  <si>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</si>
  <si>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</si>
  <si>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</si>
  <si>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</si>
  <si>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</si>
  <si>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</si>
  <si>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</si>
  <si>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</si>
  <si>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</si>
  <si>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</si>
  <si>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</si>
  <si>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</si>
  <si>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</si>
  <si>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</si>
  <si>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</si>
  <si>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</si>
  <si>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</si>
  <si>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</si>
  <si>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</si>
  <si>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</si>
  <si>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</si>
  <si>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Icon library for React</t>
  </si>
  <si>
    <t>radix-ui</t>
  </si>
  <si>
    <t>^1.4.3</t>
  </si>
  <si>
    <t>Radix UI primitives</t>
  </si>
  <si>
    <t>tailwind-merge</t>
  </si>
  <si>
    <t>Tailwind class merging</t>
  </si>
  <si>
    <t>aiosqlite</t>
  </si>
  <si>
    <t>^0.22.1</t>
  </si>
  <si>
    <t>Async SQLite driver for testing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</si>
  <si>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</si>
  <si>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</si>
  <si>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</si>
  <si>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</si>
  <si>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</si>
  <si>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</si>
  <si>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</si>
  <si>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</si>
  <si>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</si>
  <si>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</si>
  <si>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</si>
  <si>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</si>
  <si>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Mid Project Release</t>
  </si>
  <si>
    <t>Development Speed</t>
  </si>
  <si>
    <t>Final Release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</si>
</sst>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b/>
      <name val="Arial"/>
    </font>
    <font>
      <name val="Arial"/>
    </font>
    <font>
      <sz val="10.0"/>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37">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8" numFmtId="0" xfId="0" applyAlignment="1" applyFont="1">
      <alignment horizontal="left" readingOrder="0" shrinkToFit="0" wrapText="1"/>
    </xf>
    <xf borderId="0" fillId="3" fontId="0" numFmtId="0" xfId="0" applyAlignment="1" applyFill="1" applyFont="1">
      <alignment horizontal="left" readingOrder="0" shrinkToFit="0" wrapText="1"/>
    </xf>
    <xf borderId="0" fillId="0" fontId="0" numFmtId="0" xfId="0" applyAlignment="1" applyFont="1">
      <alignment horizontal="left" readingOrder="0" shrinkToFit="0" vertical="top"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9" numFmtId="0" xfId="0" applyAlignment="1" applyFont="1">
      <alignment horizontal="left" readingOrder="0" shrinkToFit="0" vertical="bottom" wrapText="1"/>
    </xf>
    <xf borderId="0" fillId="3" fontId="9"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4" fontId="7" numFmtId="0" xfId="0" applyAlignment="1" applyFont="1">
      <alignmen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10"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9" numFmtId="0" xfId="0" applyAlignment="1" applyFont="1">
      <alignment horizontal="center" shrinkToFit="0" vertical="bottom" wrapText="0"/>
    </xf>
    <xf borderId="0" fillId="3" fontId="7" numFmtId="0" xfId="0" applyAlignment="1" applyFont="1">
      <alignment shrinkToFit="0" vertical="bottom" wrapText="1"/>
    </xf>
    <xf borderId="0" fillId="4" fontId="6" numFmtId="0" xfId="0" applyAlignment="1" applyFont="1">
      <alignment horizontal="left" shrinkToFit="0" vertical="bottom" wrapText="1"/>
    </xf>
    <xf borderId="0" fillId="4" fontId="7" numFmtId="0" xfId="0" applyAlignment="1" applyFont="1">
      <alignment shrinkToFit="0" vertical="bottom" wrapText="1"/>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3" fontId="7" numFmtId="0" xfId="0" applyAlignment="1" applyFont="1">
      <alignment readingOrder="0" shrinkToFit="0" vertical="bottom"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1" numFmtId="4" xfId="0" applyAlignment="1" applyFont="1" applyNumberFormat="1">
      <alignment horizontal="center" shrinkToFit="0" vertical="center" wrapText="1"/>
    </xf>
    <xf borderId="0" fillId="7" fontId="11"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8" fontId="7" numFmtId="0" xfId="0" applyAlignment="1" applyFont="1">
      <alignment horizontal="center" shrinkToFit="0" vertical="center" wrapText="1"/>
    </xf>
    <xf borderId="0" fillId="8" fontId="7" numFmtId="0" xfId="0" applyAlignment="1" applyFont="1">
      <alignment horizontal="center"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2" numFmtId="0" xfId="0" applyAlignment="1" applyFill="1" applyFont="1">
      <alignment horizontal="center" readingOrder="0" shrinkToFit="0" vertical="bottom" wrapText="0"/>
    </xf>
    <xf borderId="0" fillId="4" fontId="7" numFmtId="0" xfId="0" applyAlignment="1" applyFont="1">
      <alignment horizontal="right" shrinkToFit="0" vertical="bottom" wrapText="0"/>
    </xf>
    <xf borderId="0" fillId="3"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 count="3" pivot="0" name="Calculation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6.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chartsheet" Target="chartsheets/sheet2.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188723250"/>
        <c:axId val="2069431836"/>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188723250"/>
        <c:axId val="2069431836"/>
      </c:lineChart>
      <c:catAx>
        <c:axId val="18872325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069431836"/>
      </c:catAx>
      <c:valAx>
        <c:axId val="2069431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8723250"/>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Final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plan'!$C$9:$C$15</c:f>
              <c:numCache/>
            </c:numRef>
          </c:val>
        </c:ser>
        <c:axId val="662511322"/>
        <c:axId val="2047702060"/>
      </c:barChart>
      <c:lineChart>
        <c:varyColors val="0"/>
        <c:ser>
          <c:idx val="2"/>
          <c:order val="2"/>
          <c:tx>
            <c:strRef>
              <c:f>'Final Project Release plan'!$E$8</c:f>
            </c:strRef>
          </c:tx>
          <c:spPr>
            <a:ln cmpd="sng">
              <a:solidFill>
                <a:srgbClr val="F4B400"/>
              </a:solidFill>
            </a:ln>
          </c:spPr>
          <c:marker>
            <c:symbol val="none"/>
          </c:marker>
          <c:cat>
            <c:strRef>
              <c:f>'Final Project Release plan'!$A$9:$A$15</c:f>
            </c:strRef>
          </c:cat>
          <c:val>
            <c:numRef>
              <c:f>'Final Project Release plan'!$E$9:$E$15</c:f>
              <c:numCache/>
            </c:numRef>
          </c:val>
          <c:smooth val="0"/>
        </c:ser>
        <c:axId val="662511322"/>
        <c:axId val="2047702060"/>
      </c:lineChart>
      <c:catAx>
        <c:axId val="66251132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047702060"/>
      </c:catAx>
      <c:valAx>
        <c:axId val="2047702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62511322"/>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Chart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29436998" name="Chart2"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C20" displayName="Table_8" name="Table_8" id="8">
  <tableColumns count="3">
    <tableColumn name="Sprint #" id="1"/>
    <tableColumn name="Story Points Realized" id="2"/>
    <tableColumn name="Story Points Estimate" id="3"/>
  </tableColumns>
  <tableStyleInfo name="Velocity Tracking-style" showColumnStripes="0" showFirstColumn="1" showLastColumn="1" showRowStripes="1"/>
</table>
</file>

<file path=xl/tables/table9.xml><?xml version="1.0" encoding="utf-8"?>
<table xmlns="http://schemas.openxmlformats.org/spreadsheetml/2006/main" ref="A1:G10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4"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Realized (21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tables/table15.xml><?xml version="1.0" encoding="utf-8"?>
<table xmlns="http://schemas.openxmlformats.org/spreadsheetml/2006/main" ref="F18:M33" displayName="Table_15" name="Table_15" id="15">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3"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5.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8.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4.25"/>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2" t="s">
        <v>135</v>
      </c>
      <c r="B9" s="2" t="s">
        <v>136</v>
      </c>
    </row>
    <row r="10">
      <c r="A10" s="2" t="s">
        <v>137</v>
      </c>
      <c r="B10" s="2" t="s">
        <v>138</v>
      </c>
    </row>
    <row r="11">
      <c r="A11" s="35" t="s">
        <v>139</v>
      </c>
      <c r="B11" s="2" t="s">
        <v>140</v>
      </c>
    </row>
    <row r="12">
      <c r="A12" s="35" t="s">
        <v>141</v>
      </c>
      <c r="B12" s="2" t="s">
        <v>142</v>
      </c>
    </row>
    <row r="13">
      <c r="A13" s="3"/>
      <c r="B13" s="3"/>
    </row>
    <row r="14">
      <c r="A14" s="3"/>
      <c r="B14" s="3"/>
    </row>
    <row r="15">
      <c r="A15" s="3"/>
      <c r="B15" s="3"/>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143</v>
      </c>
      <c r="B1" s="4" t="s">
        <v>144</v>
      </c>
    </row>
    <row r="2">
      <c r="A2" s="43">
        <v>1.0</v>
      </c>
      <c r="B2" s="2" t="s">
        <v>7</v>
      </c>
    </row>
    <row r="3">
      <c r="A3" s="43">
        <f t="shared" ref="A3:A13" si="1">A2+1</f>
        <v>2</v>
      </c>
      <c r="B3" s="2" t="s">
        <v>7</v>
      </c>
    </row>
    <row r="4">
      <c r="A4" s="43">
        <f t="shared" si="1"/>
        <v>3</v>
      </c>
      <c r="B4" s="2" t="s">
        <v>7</v>
      </c>
    </row>
    <row r="5">
      <c r="A5" s="43">
        <f t="shared" si="1"/>
        <v>4</v>
      </c>
      <c r="B5" s="2" t="s">
        <v>145</v>
      </c>
    </row>
    <row r="6">
      <c r="A6" s="43">
        <f t="shared" si="1"/>
        <v>5</v>
      </c>
      <c r="B6" s="35" t="s">
        <v>146</v>
      </c>
    </row>
    <row r="7">
      <c r="A7" s="43">
        <f t="shared" si="1"/>
        <v>6</v>
      </c>
      <c r="B7" s="2" t="s">
        <v>147</v>
      </c>
    </row>
    <row r="8">
      <c r="A8" s="43">
        <f t="shared" si="1"/>
        <v>7</v>
      </c>
      <c r="B8" s="2" t="s">
        <v>148</v>
      </c>
    </row>
    <row r="9">
      <c r="A9" s="43">
        <f t="shared" si="1"/>
        <v>8</v>
      </c>
      <c r="B9" s="44" t="s">
        <v>149</v>
      </c>
    </row>
    <row r="10">
      <c r="A10" s="43">
        <f t="shared" si="1"/>
        <v>9</v>
      </c>
      <c r="B10" s="45" t="s">
        <v>150</v>
      </c>
    </row>
    <row r="11">
      <c r="A11" s="43">
        <f t="shared" si="1"/>
        <v>10</v>
      </c>
      <c r="B11" s="46" t="s">
        <v>151</v>
      </c>
    </row>
    <row r="12">
      <c r="A12" s="43">
        <f t="shared" si="1"/>
        <v>11</v>
      </c>
      <c r="B12" s="45" t="s">
        <v>152</v>
      </c>
    </row>
    <row r="13">
      <c r="A13" s="43">
        <f t="shared" si="1"/>
        <v>12</v>
      </c>
      <c r="B13" s="45" t="s">
        <v>153</v>
      </c>
    </row>
    <row r="14">
      <c r="A14" s="43">
        <v>13.0</v>
      </c>
      <c r="B14" s="2" t="s">
        <v>154</v>
      </c>
    </row>
    <row r="15">
      <c r="A15" s="43"/>
      <c r="B15" s="3"/>
    </row>
    <row r="16">
      <c r="A16" s="43"/>
      <c r="B16" s="3"/>
    </row>
    <row r="17">
      <c r="A17" s="43"/>
      <c r="B17" s="3"/>
    </row>
    <row r="18">
      <c r="A18" s="43"/>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2.63"/>
    <col customWidth="1" min="3" max="3" width="62.63"/>
    <col customWidth="1" min="4" max="7" width="15.75"/>
  </cols>
  <sheetData>
    <row r="1">
      <c r="A1" s="48" t="s">
        <v>155</v>
      </c>
      <c r="B1" s="49" t="s">
        <v>156</v>
      </c>
      <c r="C1" s="50" t="s">
        <v>157</v>
      </c>
      <c r="D1" s="51" t="s">
        <v>158</v>
      </c>
      <c r="E1" s="51" t="s">
        <v>159</v>
      </c>
      <c r="F1" s="51" t="s">
        <v>160</v>
      </c>
      <c r="G1" s="51" t="s">
        <v>161</v>
      </c>
    </row>
    <row r="2">
      <c r="A2" s="52"/>
      <c r="B2" s="53"/>
      <c r="C2" s="54"/>
      <c r="D2" s="54"/>
      <c r="E2" s="54"/>
      <c r="F2" s="54"/>
      <c r="G2" s="54"/>
    </row>
    <row r="3">
      <c r="A3" s="55" t="s">
        <v>162</v>
      </c>
      <c r="B3" s="56"/>
      <c r="C3" s="57"/>
      <c r="D3" s="57"/>
      <c r="E3" s="57"/>
      <c r="F3" s="57"/>
      <c r="G3" s="57"/>
    </row>
    <row r="4">
      <c r="A4" s="52"/>
      <c r="B4" s="53"/>
      <c r="C4" s="54"/>
      <c r="D4" s="54"/>
      <c r="E4" s="54"/>
      <c r="F4" s="54"/>
      <c r="G4" s="54"/>
    </row>
    <row r="5">
      <c r="A5" s="58" t="s">
        <v>163</v>
      </c>
      <c r="B5" s="59"/>
      <c r="C5" s="30"/>
      <c r="D5" s="60">
        <f>SUM(D8:D14)</f>
        <v>120</v>
      </c>
      <c r="E5" s="60">
        <f>D5</f>
        <v>120</v>
      </c>
      <c r="F5" s="30"/>
      <c r="G5" s="30"/>
    </row>
    <row r="6">
      <c r="A6" s="52"/>
      <c r="B6" s="53"/>
      <c r="C6" s="54"/>
      <c r="D6" s="54"/>
      <c r="E6" s="54"/>
      <c r="F6" s="54"/>
      <c r="G6" s="54"/>
    </row>
    <row r="7">
      <c r="A7" s="61" t="s">
        <v>164</v>
      </c>
      <c r="B7" s="62"/>
      <c r="C7" s="63"/>
      <c r="D7" s="63"/>
      <c r="E7" s="63"/>
      <c r="F7" s="63"/>
      <c r="G7" s="63"/>
    </row>
    <row r="8">
      <c r="A8" s="64" t="s">
        <v>164</v>
      </c>
      <c r="B8" s="53"/>
      <c r="C8" s="54"/>
      <c r="D8" s="54"/>
      <c r="E8" s="65" t="s">
        <v>159</v>
      </c>
      <c r="F8" s="54"/>
      <c r="G8" s="65" t="s">
        <v>161</v>
      </c>
    </row>
    <row r="9">
      <c r="A9" s="66">
        <v>1.0</v>
      </c>
      <c r="B9" s="58"/>
      <c r="C9" s="30"/>
      <c r="D9" s="60">
        <f>SUM(D18:D22)</f>
        <v>1</v>
      </c>
      <c r="E9" s="60">
        <f>$D$5</f>
        <v>120</v>
      </c>
      <c r="F9" s="60">
        <f>SUM(F18)</f>
        <v>1</v>
      </c>
      <c r="G9" s="60">
        <f>$D$5</f>
        <v>120</v>
      </c>
    </row>
    <row r="10">
      <c r="A10" s="52">
        <f t="shared" ref="A10:A11" si="1">A9+1</f>
        <v>2</v>
      </c>
      <c r="B10" s="53"/>
      <c r="C10" s="54"/>
      <c r="D10" s="67">
        <f>SUM(D24:D27)</f>
        <v>16</v>
      </c>
      <c r="E10" s="67">
        <f t="shared" ref="E10:E14" si="2">E9-D9</f>
        <v>119</v>
      </c>
      <c r="F10" s="67">
        <f>SUM(F24:F27)</f>
        <v>12</v>
      </c>
      <c r="G10" s="67">
        <f t="shared" ref="G10:G14" si="3">G9-F9</f>
        <v>119</v>
      </c>
    </row>
    <row r="11">
      <c r="A11" s="66">
        <f t="shared" si="1"/>
        <v>3</v>
      </c>
      <c r="B11" s="58"/>
      <c r="C11" s="30"/>
      <c r="D11" s="60">
        <f>sum(D30:D35)</f>
        <v>19</v>
      </c>
      <c r="E11" s="60">
        <f t="shared" si="2"/>
        <v>103</v>
      </c>
      <c r="F11" s="60">
        <f>SUM(F30:F34)</f>
        <v>18</v>
      </c>
      <c r="G11" s="60">
        <f t="shared" si="3"/>
        <v>107</v>
      </c>
    </row>
    <row r="12">
      <c r="A12" s="68">
        <v>4.0</v>
      </c>
      <c r="B12" s="69"/>
      <c r="C12" s="54"/>
      <c r="D12" s="28">
        <f>SUM(D36:D41)</f>
        <v>30</v>
      </c>
      <c r="E12" s="67">
        <f t="shared" si="2"/>
        <v>84</v>
      </c>
      <c r="F12" s="54">
        <f>SUM(F36:F41)</f>
        <v>36</v>
      </c>
      <c r="G12" s="67">
        <f t="shared" si="3"/>
        <v>89</v>
      </c>
    </row>
    <row r="13">
      <c r="A13" s="70">
        <v>5.0</v>
      </c>
      <c r="B13" s="58"/>
      <c r="C13" s="30"/>
      <c r="D13" s="30">
        <f>SUM(D43:D49)</f>
        <v>29</v>
      </c>
      <c r="E13" s="30">
        <f t="shared" si="2"/>
        <v>54</v>
      </c>
      <c r="F13" s="30">
        <f>SUM(F43:F49)</f>
        <v>28</v>
      </c>
      <c r="G13" s="30">
        <f t="shared" si="3"/>
        <v>53</v>
      </c>
    </row>
    <row r="14">
      <c r="A14" s="71">
        <v>6.0</v>
      </c>
      <c r="D14">
        <f>SUM(D51:D59)</f>
        <v>25</v>
      </c>
      <c r="E14" s="67">
        <f t="shared" si="2"/>
        <v>25</v>
      </c>
      <c r="F14">
        <f>SUM(F51:F59)</f>
        <v>21</v>
      </c>
      <c r="G14" s="67">
        <f t="shared" si="3"/>
        <v>25</v>
      </c>
    </row>
    <row r="15">
      <c r="A15" s="71"/>
      <c r="B15" s="58"/>
      <c r="C15" s="58"/>
      <c r="D15" s="58"/>
      <c r="E15" s="58"/>
      <c r="F15" s="58"/>
      <c r="G15" s="72"/>
    </row>
    <row r="16">
      <c r="A16" s="73" t="s">
        <v>165</v>
      </c>
      <c r="B16" s="74"/>
      <c r="C16" s="75"/>
      <c r="D16" s="75"/>
      <c r="E16" s="75"/>
      <c r="F16" s="75"/>
      <c r="G16" s="75"/>
    </row>
    <row r="17">
      <c r="A17" s="66"/>
      <c r="B17" s="58"/>
      <c r="C17" s="30"/>
      <c r="D17" s="30"/>
      <c r="E17" s="30"/>
      <c r="F17" s="30"/>
      <c r="G17" s="30"/>
    </row>
    <row r="18">
      <c r="A18" s="76">
        <f>A9</f>
        <v>1</v>
      </c>
      <c r="B18" s="77" t="s">
        <v>7</v>
      </c>
      <c r="C18" s="28" t="s">
        <v>166</v>
      </c>
      <c r="D18" s="28">
        <v>1.0</v>
      </c>
      <c r="E18" s="28"/>
      <c r="F18" s="28">
        <v>1.0</v>
      </c>
      <c r="G18" s="54"/>
    </row>
    <row r="19">
      <c r="A19" s="66"/>
      <c r="B19" s="78"/>
      <c r="C19" s="30"/>
      <c r="D19" s="30"/>
      <c r="E19" s="30"/>
      <c r="F19" s="30"/>
      <c r="G19" s="30"/>
    </row>
    <row r="20">
      <c r="A20" s="52"/>
      <c r="B20" s="53"/>
      <c r="C20" s="69"/>
      <c r="D20" s="79"/>
      <c r="E20" s="53"/>
      <c r="F20" s="79"/>
      <c r="G20" s="53"/>
    </row>
    <row r="21">
      <c r="A21" s="66"/>
      <c r="B21" s="78"/>
      <c r="C21" s="30"/>
      <c r="D21" s="60"/>
      <c r="E21" s="30"/>
      <c r="F21" s="30"/>
      <c r="G21" s="30"/>
    </row>
    <row r="22">
      <c r="A22" s="80"/>
      <c r="B22" s="69"/>
      <c r="C22" s="69"/>
      <c r="D22" s="67"/>
      <c r="E22" s="69"/>
      <c r="F22" s="69"/>
      <c r="G22" s="69"/>
    </row>
    <row r="23">
      <c r="A23" s="66"/>
      <c r="B23" s="78"/>
      <c r="C23" s="30"/>
      <c r="D23" s="60"/>
      <c r="E23" s="30"/>
      <c r="F23" s="30"/>
      <c r="G23" s="30"/>
    </row>
    <row r="24">
      <c r="A24" s="76">
        <f>A10</f>
        <v>2</v>
      </c>
      <c r="B24" s="77" t="s">
        <v>7</v>
      </c>
      <c r="C24" s="28" t="s">
        <v>167</v>
      </c>
      <c r="D24" s="67">
        <v>3.0</v>
      </c>
      <c r="E24" s="69"/>
      <c r="F24" s="69">
        <v>2.0</v>
      </c>
      <c r="G24" s="54"/>
    </row>
    <row r="25">
      <c r="A25" s="66"/>
      <c r="B25" s="78"/>
      <c r="C25" s="30" t="s">
        <v>168</v>
      </c>
      <c r="D25" s="60">
        <v>5.0</v>
      </c>
      <c r="E25" s="30"/>
      <c r="F25" s="30">
        <v>5.0</v>
      </c>
      <c r="G25" s="30"/>
    </row>
    <row r="26">
      <c r="A26" s="80"/>
      <c r="B26" s="69"/>
      <c r="C26" s="81" t="s">
        <v>169</v>
      </c>
      <c r="D26" s="67">
        <v>5.0</v>
      </c>
      <c r="E26" s="69"/>
      <c r="F26" s="69">
        <v>5.0</v>
      </c>
      <c r="G26" s="69"/>
    </row>
    <row r="27">
      <c r="A27" s="66"/>
      <c r="B27" s="78"/>
      <c r="C27" s="30" t="s">
        <v>170</v>
      </c>
      <c r="D27" s="60">
        <v>3.0</v>
      </c>
      <c r="E27" s="30"/>
      <c r="F27" s="82" t="s">
        <v>171</v>
      </c>
      <c r="G27" s="30"/>
    </row>
    <row r="28">
      <c r="A28" s="80"/>
      <c r="B28" s="69"/>
      <c r="C28" s="69"/>
      <c r="D28" s="67"/>
      <c r="E28" s="69"/>
      <c r="F28" s="69"/>
      <c r="G28" s="69"/>
    </row>
    <row r="29">
      <c r="A29" s="66"/>
      <c r="B29" s="78"/>
      <c r="C29" s="30"/>
      <c r="D29" s="60"/>
      <c r="E29" s="30"/>
      <c r="F29" s="30"/>
      <c r="G29" s="30"/>
    </row>
    <row r="30">
      <c r="A30" s="76">
        <f>A11</f>
        <v>3</v>
      </c>
      <c r="B30" s="77" t="s">
        <v>7</v>
      </c>
      <c r="C30" s="69" t="s">
        <v>170</v>
      </c>
      <c r="D30" s="67">
        <v>3.0</v>
      </c>
      <c r="E30" s="69"/>
      <c r="F30" s="69">
        <v>3.0</v>
      </c>
      <c r="G30" s="54"/>
    </row>
    <row r="31">
      <c r="A31" s="66"/>
      <c r="B31" s="83"/>
      <c r="C31" s="30" t="s">
        <v>172</v>
      </c>
      <c r="D31" s="60">
        <v>5.0</v>
      </c>
      <c r="E31" s="30"/>
      <c r="F31" s="30">
        <v>5.0</v>
      </c>
      <c r="G31" s="30"/>
    </row>
    <row r="32">
      <c r="A32" s="80"/>
      <c r="B32" s="84"/>
      <c r="C32" s="69" t="s">
        <v>173</v>
      </c>
      <c r="D32" s="67">
        <v>3.0</v>
      </c>
      <c r="E32" s="69"/>
      <c r="F32" s="69">
        <v>3.0</v>
      </c>
      <c r="G32" s="69"/>
    </row>
    <row r="33">
      <c r="A33" s="66"/>
      <c r="B33" s="83"/>
      <c r="C33" s="30" t="s">
        <v>174</v>
      </c>
      <c r="D33" s="60">
        <v>3.0</v>
      </c>
      <c r="E33" s="30"/>
      <c r="F33" s="30">
        <v>2.0</v>
      </c>
      <c r="G33" s="30"/>
    </row>
    <row r="34">
      <c r="A34" s="80"/>
      <c r="B34" s="84"/>
      <c r="C34" s="69" t="s">
        <v>175</v>
      </c>
      <c r="D34" s="67">
        <v>5.0</v>
      </c>
      <c r="E34" s="69"/>
      <c r="F34" s="69">
        <v>5.0</v>
      </c>
      <c r="G34" s="69"/>
    </row>
    <row r="35">
      <c r="A35" s="66"/>
      <c r="B35" s="83"/>
      <c r="C35" s="30"/>
      <c r="D35" s="60"/>
      <c r="E35" s="30"/>
      <c r="F35" s="30"/>
      <c r="G35" s="30"/>
    </row>
    <row r="36">
      <c r="A36" s="68">
        <v>4.0</v>
      </c>
      <c r="B36" s="77" t="str">
        <f>'Sprint Goals'!B5</f>
        <v>Optional</v>
      </c>
      <c r="C36" s="69" t="s">
        <v>176</v>
      </c>
      <c r="D36" s="67">
        <v>5.0</v>
      </c>
      <c r="E36" s="69"/>
      <c r="F36" s="81">
        <v>8.0</v>
      </c>
      <c r="G36" s="69"/>
    </row>
    <row r="37">
      <c r="A37" s="66"/>
      <c r="B37" s="83"/>
      <c r="C37" s="30" t="s">
        <v>177</v>
      </c>
      <c r="D37" s="60">
        <v>5.0</v>
      </c>
      <c r="E37" s="30"/>
      <c r="F37" s="32">
        <v>5.0</v>
      </c>
      <c r="G37" s="30"/>
    </row>
    <row r="38">
      <c r="A38" s="80"/>
      <c r="B38" s="84"/>
      <c r="C38" s="69" t="s">
        <v>178</v>
      </c>
      <c r="D38" s="67">
        <v>5.0</v>
      </c>
      <c r="E38" s="69"/>
      <c r="F38" s="81">
        <v>5.0</v>
      </c>
      <c r="G38" s="69"/>
    </row>
    <row r="39">
      <c r="A39" s="66"/>
      <c r="B39" s="83"/>
      <c r="C39" s="30" t="s">
        <v>179</v>
      </c>
      <c r="D39" s="60">
        <v>5.0</v>
      </c>
      <c r="E39" s="30"/>
      <c r="F39" s="32">
        <v>5.0</v>
      </c>
      <c r="G39" s="30"/>
    </row>
    <row r="40">
      <c r="A40" s="80"/>
      <c r="B40" s="84"/>
      <c r="C40" s="69" t="s">
        <v>180</v>
      </c>
      <c r="D40" s="67">
        <v>5.0</v>
      </c>
      <c r="E40" s="69"/>
      <c r="F40" s="81">
        <v>5.0</v>
      </c>
      <c r="G40" s="69"/>
    </row>
    <row r="41">
      <c r="A41" s="66"/>
      <c r="B41" s="83"/>
      <c r="C41" s="30" t="s">
        <v>181</v>
      </c>
      <c r="D41" s="60">
        <v>5.0</v>
      </c>
      <c r="E41" s="30"/>
      <c r="F41" s="32">
        <v>8.0</v>
      </c>
      <c r="G41" s="30"/>
    </row>
    <row r="42">
      <c r="A42" s="69"/>
      <c r="B42" s="69"/>
      <c r="C42" s="69"/>
      <c r="D42" s="67"/>
      <c r="E42" s="69"/>
      <c r="F42" s="69"/>
      <c r="G42" s="69"/>
    </row>
    <row r="43">
      <c r="A43" s="66">
        <v>5.0</v>
      </c>
      <c r="B43" s="85" t="str">
        <f>'Sprint Goals'!B6</f>
        <v>Persistent Single-Prompt Agent Prototype</v>
      </c>
      <c r="C43" s="32" t="s">
        <v>182</v>
      </c>
      <c r="D43" s="86">
        <v>2.0</v>
      </c>
      <c r="E43" s="30"/>
      <c r="F43" s="32">
        <v>3.0</v>
      </c>
      <c r="G43" s="30"/>
    </row>
    <row r="44">
      <c r="A44" s="80"/>
      <c r="B44" s="84"/>
      <c r="C44" s="81" t="s">
        <v>183</v>
      </c>
      <c r="D44" s="87">
        <v>5.0</v>
      </c>
      <c r="E44" s="69"/>
      <c r="F44" s="87" t="s">
        <v>171</v>
      </c>
      <c r="G44" s="69"/>
    </row>
    <row r="45">
      <c r="A45" s="66"/>
      <c r="B45" s="83"/>
      <c r="C45" s="32" t="s">
        <v>184</v>
      </c>
      <c r="D45" s="86">
        <v>3.0</v>
      </c>
      <c r="E45" s="30"/>
      <c r="F45" s="32">
        <v>3.0</v>
      </c>
      <c r="G45" s="30"/>
    </row>
    <row r="46">
      <c r="A46" s="80"/>
      <c r="B46" s="84"/>
      <c r="C46" s="81" t="s">
        <v>185</v>
      </c>
      <c r="D46" s="87">
        <v>3.0</v>
      </c>
      <c r="E46" s="69"/>
      <c r="F46" s="81">
        <v>3.0</v>
      </c>
      <c r="G46" s="69"/>
    </row>
    <row r="47">
      <c r="A47" s="66"/>
      <c r="B47" s="83"/>
      <c r="C47" s="32" t="s">
        <v>186</v>
      </c>
      <c r="D47" s="86">
        <v>3.0</v>
      </c>
      <c r="E47" s="30"/>
      <c r="F47" s="32">
        <v>3.0</v>
      </c>
      <c r="G47" s="30"/>
    </row>
    <row r="48">
      <c r="A48" s="80"/>
      <c r="B48" s="84"/>
      <c r="C48" s="81" t="s">
        <v>187</v>
      </c>
      <c r="D48" s="87">
        <v>8.0</v>
      </c>
      <c r="E48" s="69"/>
      <c r="F48" s="81">
        <v>8.0</v>
      </c>
      <c r="G48" s="69"/>
    </row>
    <row r="49">
      <c r="A49" s="88"/>
      <c r="B49" s="83"/>
      <c r="C49" s="32" t="s">
        <v>188</v>
      </c>
      <c r="D49" s="86">
        <v>5.0</v>
      </c>
      <c r="E49" s="30"/>
      <c r="F49" s="32">
        <v>8.0</v>
      </c>
      <c r="G49" s="30"/>
    </row>
    <row r="50">
      <c r="A50" s="80"/>
      <c r="B50" s="84"/>
      <c r="C50" s="69"/>
      <c r="D50" s="67"/>
      <c r="E50" s="69"/>
      <c r="F50" s="69"/>
      <c r="G50" s="69"/>
    </row>
    <row r="51">
      <c r="A51" s="70">
        <v>6.0</v>
      </c>
      <c r="B51" s="83" t="str">
        <f>'Sprint Goals'!B7</f>
        <v>Cloud Deployment/Migration &amp; System Robustness </v>
      </c>
      <c r="C51" s="32" t="s">
        <v>183</v>
      </c>
      <c r="D51" s="86">
        <v>5.0</v>
      </c>
      <c r="E51" s="30"/>
      <c r="F51" s="82" t="s">
        <v>171</v>
      </c>
      <c r="G51" s="30"/>
    </row>
    <row r="52">
      <c r="A52" s="80"/>
      <c r="B52" s="84"/>
      <c r="C52" s="81" t="s">
        <v>189</v>
      </c>
      <c r="D52" s="87">
        <v>2.0</v>
      </c>
      <c r="E52" s="69"/>
      <c r="F52" s="87">
        <v>3.0</v>
      </c>
      <c r="G52" s="69"/>
    </row>
    <row r="53">
      <c r="A53" s="66"/>
      <c r="B53" s="83"/>
      <c r="C53" s="32" t="s">
        <v>190</v>
      </c>
      <c r="D53" s="86">
        <v>5.0</v>
      </c>
      <c r="E53" s="30"/>
      <c r="F53" s="82">
        <v>5.0</v>
      </c>
      <c r="G53" s="30"/>
    </row>
    <row r="54">
      <c r="A54" s="80"/>
      <c r="B54" s="84"/>
      <c r="C54" s="81" t="s">
        <v>191</v>
      </c>
      <c r="D54" s="87">
        <v>8.0</v>
      </c>
      <c r="E54" s="69"/>
      <c r="F54" s="87">
        <v>8.0</v>
      </c>
      <c r="G54" s="69"/>
    </row>
    <row r="55">
      <c r="A55" s="66"/>
      <c r="B55" s="83"/>
      <c r="C55" s="32" t="s">
        <v>192</v>
      </c>
      <c r="D55" s="86">
        <v>5.0</v>
      </c>
      <c r="E55" s="30"/>
      <c r="F55" s="82">
        <v>5.0</v>
      </c>
      <c r="G55" s="30"/>
    </row>
    <row r="56">
      <c r="A56" s="80"/>
      <c r="B56" s="84"/>
      <c r="C56" s="69"/>
      <c r="D56" s="67"/>
      <c r="E56" s="69"/>
      <c r="F56" s="69"/>
      <c r="G56" s="69"/>
    </row>
    <row r="57">
      <c r="A57" s="66"/>
      <c r="B57" s="83"/>
      <c r="C57" s="30"/>
      <c r="D57" s="60"/>
      <c r="E57" s="30"/>
      <c r="F57" s="30"/>
      <c r="G57" s="30"/>
    </row>
    <row r="58">
      <c r="A58" s="80"/>
      <c r="B58" s="84"/>
      <c r="C58" s="69"/>
      <c r="D58" s="67"/>
      <c r="E58" s="69"/>
      <c r="F58" s="69"/>
      <c r="G58" s="69"/>
    </row>
    <row r="59">
      <c r="A59" s="66"/>
      <c r="B59" s="83"/>
      <c r="C59" s="30"/>
      <c r="D59" s="60"/>
      <c r="E59" s="30"/>
      <c r="F59" s="30"/>
      <c r="G59" s="30"/>
    </row>
    <row r="60">
      <c r="A60" s="80"/>
      <c r="B60" s="84"/>
      <c r="C60" s="69"/>
      <c r="D60" s="67"/>
      <c r="E60" s="69"/>
      <c r="F60" s="69"/>
      <c r="G60" s="69"/>
    </row>
    <row r="61">
      <c r="A61" s="66"/>
      <c r="B61" s="83"/>
      <c r="C61" s="30"/>
      <c r="D61" s="60"/>
      <c r="E61" s="30"/>
      <c r="F61" s="30"/>
      <c r="G61" s="30"/>
    </row>
    <row r="62">
      <c r="A62" s="80"/>
      <c r="B62" s="84"/>
      <c r="C62" s="69"/>
      <c r="D62" s="67"/>
      <c r="E62" s="69"/>
      <c r="F62" s="69"/>
      <c r="G62" s="69"/>
    </row>
    <row r="63">
      <c r="A63" s="66"/>
      <c r="B63" s="83"/>
      <c r="C63" s="30"/>
      <c r="D63" s="60"/>
      <c r="E63" s="30"/>
      <c r="F63" s="30"/>
      <c r="G63" s="30"/>
    </row>
    <row r="64">
      <c r="A64" s="80"/>
      <c r="B64" s="84"/>
      <c r="C64" s="69"/>
      <c r="D64" s="67"/>
      <c r="E64" s="69"/>
      <c r="F64" s="69"/>
      <c r="G64" s="69"/>
    </row>
    <row r="65">
      <c r="A65" s="66"/>
      <c r="B65" s="78"/>
      <c r="C65" s="89" t="s">
        <v>193</v>
      </c>
      <c r="D65" s="60"/>
      <c r="E65" s="30"/>
      <c r="F65" s="30"/>
      <c r="G65" s="30"/>
    </row>
    <row r="66">
      <c r="A66" s="80"/>
      <c r="B66" s="69"/>
      <c r="C66" s="54"/>
      <c r="D66" s="54"/>
      <c r="E66" s="54"/>
      <c r="F66" s="54"/>
      <c r="G66" s="5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3" width="112.63"/>
  </cols>
  <sheetData>
    <row r="1">
      <c r="A1" s="42" t="s">
        <v>143</v>
      </c>
      <c r="B1" s="4" t="s">
        <v>194</v>
      </c>
      <c r="C1" s="4" t="s">
        <v>195</v>
      </c>
    </row>
    <row r="2">
      <c r="A2" s="43">
        <v>1.0</v>
      </c>
      <c r="B2" s="43">
        <f>'Mid-Project Release plan'!F9</f>
        <v>1</v>
      </c>
      <c r="C2" s="43">
        <f t="array" ref="C2:C7">'Mid-Project Release plan'!D9:D14</f>
        <v>1</v>
      </c>
    </row>
    <row r="3">
      <c r="A3" s="43">
        <f t="shared" ref="A3:A15" si="1">A2+1</f>
        <v>2</v>
      </c>
      <c r="B3" s="43">
        <f>'Mid-Project Release plan'!F10</f>
        <v>12</v>
      </c>
      <c r="C3" s="43">
        <v>16.0</v>
      </c>
    </row>
    <row r="4">
      <c r="A4" s="43">
        <f t="shared" si="1"/>
        <v>3</v>
      </c>
      <c r="B4" s="43">
        <f>'Mid-Project Release plan'!F11</f>
        <v>18</v>
      </c>
      <c r="C4" s="43">
        <v>19.0</v>
      </c>
    </row>
    <row r="5">
      <c r="A5" s="43">
        <f t="shared" si="1"/>
        <v>4</v>
      </c>
      <c r="B5" s="43">
        <f>'Mid-Project Release plan'!F12</f>
        <v>36</v>
      </c>
      <c r="C5" s="43">
        <v>30.0</v>
      </c>
    </row>
    <row r="6">
      <c r="A6" s="43">
        <f t="shared" si="1"/>
        <v>5</v>
      </c>
      <c r="B6" s="43">
        <f>IF('Mid-Project Release plan'!F13=0, "", 'Mid-Project Release plan'!F13)</f>
        <v>28</v>
      </c>
      <c r="C6" s="43">
        <v>29.0</v>
      </c>
    </row>
    <row r="7">
      <c r="A7" s="43">
        <f t="shared" si="1"/>
        <v>6</v>
      </c>
      <c r="B7" s="43">
        <f>IF('Mid-Project Release plan'!F14=0, "", 'Mid-Project Release plan'!F14)</f>
        <v>21</v>
      </c>
      <c r="C7" s="43">
        <v>25.0</v>
      </c>
    </row>
    <row r="8">
      <c r="A8" s="43">
        <f t="shared" si="1"/>
        <v>7</v>
      </c>
      <c r="B8" s="43">
        <f>IF('Final Project Release plan'!F9=0, "", 'Final Project Release plan'!F9)</f>
        <v>30</v>
      </c>
      <c r="C8" s="43">
        <f>IF('Final Project Release plan'!D9=0, "", 'Final Project Release plan'!D9)</f>
        <v>30</v>
      </c>
    </row>
    <row r="9">
      <c r="A9" s="43">
        <f t="shared" si="1"/>
        <v>8</v>
      </c>
      <c r="B9" s="43" t="str">
        <f>IF('Final Project Release plan'!F10=0, "", 'Final Project Release plan'!F10)</f>
        <v/>
      </c>
      <c r="C9" s="43">
        <f>IF(OR('Final Project Release plan'!D10=0, B8=""), "", 'Final Project Release plan'!D10)</f>
        <v>24</v>
      </c>
    </row>
    <row r="10">
      <c r="A10" s="43">
        <f t="shared" si="1"/>
        <v>9</v>
      </c>
      <c r="B10" s="43" t="str">
        <f>IF('Final Project Release plan'!F11=0, "", 'Final Project Release plan'!F11)</f>
        <v/>
      </c>
      <c r="C10" s="43" t="str">
        <f>IF(OR('Final Project Release plan'!D11=0, B9=""), "", 'Final Project Release plan'!D11)</f>
        <v/>
      </c>
    </row>
    <row r="11">
      <c r="A11" s="43">
        <f t="shared" si="1"/>
        <v>10</v>
      </c>
      <c r="B11" s="43" t="str">
        <f>IF('Final Project Release plan'!F12=0, "", 'Final Project Release plan'!F12)</f>
        <v/>
      </c>
      <c r="C11" s="43" t="str">
        <f>IF(OR('Final Project Release plan'!D12=0, B10=""), "", 'Final Project Release plan'!D12)</f>
        <v/>
      </c>
    </row>
    <row r="12">
      <c r="A12" s="43">
        <f t="shared" si="1"/>
        <v>11</v>
      </c>
      <c r="B12" s="43" t="str">
        <f>IF('Final Project Release plan'!F13=0, "", 'Final Project Release plan'!F13)</f>
        <v/>
      </c>
      <c r="C12" s="43" t="str">
        <f>IF(OR('Final Project Release plan'!D13=0, B11=""), "", 'Final Project Release plan'!D13)</f>
        <v/>
      </c>
    </row>
    <row r="13">
      <c r="A13" s="43">
        <f t="shared" si="1"/>
        <v>12</v>
      </c>
      <c r="B13" s="43" t="str">
        <f>IF('Final Project Release plan'!F14=0, "", 'Final Project Release plan'!F14)</f>
        <v/>
      </c>
      <c r="C13" s="43" t="str">
        <f>IF(OR('Final Project Release plan'!D14=0, B12=""), "", 'Final Project Release plan'!D14)</f>
        <v/>
      </c>
    </row>
    <row r="14">
      <c r="A14" s="43">
        <f t="shared" si="1"/>
        <v>13</v>
      </c>
      <c r="B14" s="43" t="str">
        <f>IF('Final Project Release plan'!F15=0, "", 'Final Project Release plan'!F15)</f>
        <v/>
      </c>
      <c r="C14" s="43" t="str">
        <f>IF(OR('Final Project Release plan'!D15=0, B13=""), "", 'Final Project Release plan'!D15)</f>
        <v/>
      </c>
    </row>
    <row r="15">
      <c r="A15" s="43">
        <f t="shared" si="1"/>
        <v>14</v>
      </c>
      <c r="B15" s="43" t="str">
        <f>IF('Final Project Release plan'!F16=0, "", 'Final Project Release plan'!F16)</f>
        <v/>
      </c>
      <c r="C15" s="43" t="str">
        <f>IF(OR('Final Project Release plan'!D16=0, B14=""), "", 'Final Project Release plan'!D16)</f>
        <v/>
      </c>
    </row>
    <row r="16">
      <c r="A16" s="43"/>
      <c r="B16" s="43" t="str">
        <f>IF('Final Project Release plan'!F17=0, "", 'Final Project Release plan'!F17)</f>
        <v/>
      </c>
      <c r="C16" s="43"/>
    </row>
    <row r="17">
      <c r="A17" s="43"/>
      <c r="B17" s="47"/>
      <c r="C17" s="47"/>
    </row>
    <row r="18">
      <c r="A18" s="43"/>
      <c r="B18" s="90" t="s">
        <v>196</v>
      </c>
      <c r="C18" s="90"/>
    </row>
    <row r="19">
      <c r="A19" s="47"/>
      <c r="B19" s="47"/>
      <c r="C19" s="47"/>
    </row>
    <row r="20">
      <c r="A20" s="43"/>
      <c r="B20" s="47"/>
      <c r="C20" s="4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5.0"/>
    <col customWidth="1" min="3" max="3" width="65.38"/>
    <col customWidth="1" min="4" max="7" width="15.75"/>
  </cols>
  <sheetData>
    <row r="1">
      <c r="A1" s="48" t="s">
        <v>155</v>
      </c>
      <c r="B1" s="91" t="s">
        <v>156</v>
      </c>
      <c r="C1" s="50" t="s">
        <v>157</v>
      </c>
      <c r="D1" s="51" t="s">
        <v>158</v>
      </c>
      <c r="E1" s="51" t="s">
        <v>159</v>
      </c>
      <c r="F1" s="51" t="s">
        <v>160</v>
      </c>
      <c r="G1" s="51" t="s">
        <v>161</v>
      </c>
    </row>
    <row r="2">
      <c r="A2" s="52"/>
      <c r="B2" s="54"/>
      <c r="C2" s="54"/>
      <c r="D2" s="54"/>
      <c r="E2" s="54"/>
      <c r="F2" s="54"/>
      <c r="G2" s="54"/>
    </row>
    <row r="3">
      <c r="A3" s="55" t="s">
        <v>162</v>
      </c>
      <c r="B3" s="57"/>
      <c r="C3" s="57"/>
      <c r="D3" s="57"/>
      <c r="E3" s="57"/>
      <c r="F3" s="57"/>
      <c r="G3" s="57"/>
    </row>
    <row r="4">
      <c r="A4" s="52"/>
      <c r="B4" s="54"/>
      <c r="C4" s="54"/>
      <c r="D4" s="54"/>
      <c r="E4" s="54"/>
      <c r="F4" s="54"/>
      <c r="G4" s="54"/>
    </row>
    <row r="5">
      <c r="A5" s="58" t="s">
        <v>163</v>
      </c>
      <c r="B5" s="30"/>
      <c r="C5" s="30"/>
      <c r="D5" s="60">
        <f>sum(D8:D15)</f>
        <v>167</v>
      </c>
      <c r="E5" s="60">
        <f>D5</f>
        <v>167</v>
      </c>
      <c r="F5" s="30"/>
      <c r="G5" s="30"/>
    </row>
    <row r="6">
      <c r="A6" s="52"/>
      <c r="B6" s="54"/>
      <c r="C6" s="54"/>
      <c r="D6" s="54"/>
      <c r="E6" s="54"/>
      <c r="F6" s="54"/>
      <c r="G6" s="54"/>
    </row>
    <row r="7">
      <c r="A7" s="61" t="s">
        <v>164</v>
      </c>
      <c r="B7" s="92"/>
      <c r="C7" s="63"/>
      <c r="D7" s="63"/>
      <c r="E7" s="63"/>
      <c r="F7" s="63"/>
      <c r="G7" s="63"/>
    </row>
    <row r="8">
      <c r="A8" s="64" t="s">
        <v>164</v>
      </c>
      <c r="B8" s="54"/>
      <c r="C8" s="54"/>
      <c r="D8" s="54"/>
      <c r="E8" s="93" t="s">
        <v>159</v>
      </c>
      <c r="G8" s="93" t="s">
        <v>161</v>
      </c>
    </row>
    <row r="9">
      <c r="A9" s="70">
        <v>7.0</v>
      </c>
      <c r="B9" s="30"/>
      <c r="C9" s="30"/>
      <c r="D9" s="60">
        <f>sum(D19:D24)</f>
        <v>30</v>
      </c>
      <c r="E9" s="60">
        <f>$D$5</f>
        <v>167</v>
      </c>
      <c r="F9" s="60">
        <f>sum(F19:F24)</f>
        <v>30</v>
      </c>
      <c r="G9" s="60">
        <f>$D$5</f>
        <v>167</v>
      </c>
    </row>
    <row r="10">
      <c r="A10" s="52">
        <f t="shared" ref="A10:A11" si="1">A9+1</f>
        <v>8</v>
      </c>
      <c r="B10" s="54"/>
      <c r="C10" s="54"/>
      <c r="D10" s="67">
        <f>SUM(D26:D32)</f>
        <v>24</v>
      </c>
      <c r="E10" s="67">
        <f t="shared" ref="E10:E15" si="2">E9-D9</f>
        <v>137</v>
      </c>
      <c r="F10" s="67">
        <f>SUM(F26:F32)</f>
        <v>0</v>
      </c>
      <c r="G10" s="67">
        <f t="shared" ref="G10:G15" si="3">G9-F9</f>
        <v>137</v>
      </c>
    </row>
    <row r="11">
      <c r="A11" s="66">
        <f t="shared" si="1"/>
        <v>9</v>
      </c>
      <c r="B11" s="30"/>
      <c r="C11" s="30"/>
      <c r="D11" s="60">
        <f>SUM(D34:D40)</f>
        <v>22</v>
      </c>
      <c r="E11" s="60">
        <f t="shared" si="2"/>
        <v>113</v>
      </c>
      <c r="F11" s="60">
        <f>SUM(F34:F40)</f>
        <v>0</v>
      </c>
      <c r="G11" s="60">
        <f t="shared" si="3"/>
        <v>137</v>
      </c>
    </row>
    <row r="12">
      <c r="A12" s="68">
        <v>10.0</v>
      </c>
      <c r="B12" s="54"/>
      <c r="C12" s="54"/>
      <c r="D12" s="54">
        <f>SUM(D41:D47)</f>
        <v>26</v>
      </c>
      <c r="E12" s="54">
        <f t="shared" si="2"/>
        <v>91</v>
      </c>
      <c r="F12" s="54">
        <f>SUM(F41:F47)</f>
        <v>0</v>
      </c>
      <c r="G12" s="54">
        <f t="shared" si="3"/>
        <v>137</v>
      </c>
    </row>
    <row r="13">
      <c r="A13" s="66">
        <v>11.0</v>
      </c>
      <c r="B13" s="30"/>
      <c r="C13" s="30"/>
      <c r="D13" s="30">
        <f>SUM(D49:D54)</f>
        <v>25</v>
      </c>
      <c r="E13" s="30">
        <f t="shared" si="2"/>
        <v>65</v>
      </c>
      <c r="F13" s="30">
        <f>SUM(F49:F55)</f>
        <v>0</v>
      </c>
      <c r="G13" s="30">
        <f t="shared" si="3"/>
        <v>137</v>
      </c>
    </row>
    <row r="14">
      <c r="A14" s="68">
        <v>12.0</v>
      </c>
      <c r="B14" s="54"/>
      <c r="C14" s="54"/>
      <c r="D14" s="54">
        <f>SUM(D57:D63)</f>
        <v>22</v>
      </c>
      <c r="E14" s="54">
        <f t="shared" si="2"/>
        <v>40</v>
      </c>
      <c r="F14" s="54">
        <f>SUM(F57:F63)</f>
        <v>0</v>
      </c>
      <c r="G14" s="54">
        <f t="shared" si="3"/>
        <v>137</v>
      </c>
    </row>
    <row r="15">
      <c r="A15" s="66">
        <v>13.0</v>
      </c>
      <c r="B15" s="30"/>
      <c r="C15" s="30"/>
      <c r="D15" s="30">
        <f>SUM(D65:D72)</f>
        <v>18</v>
      </c>
      <c r="E15" s="30">
        <f t="shared" si="2"/>
        <v>18</v>
      </c>
      <c r="F15" s="30">
        <f>SUM(F65:F72)</f>
        <v>0</v>
      </c>
      <c r="G15" s="30">
        <f t="shared" si="3"/>
        <v>137</v>
      </c>
    </row>
    <row r="16">
      <c r="A16" s="68"/>
      <c r="B16" s="54"/>
      <c r="C16" s="54"/>
      <c r="D16" s="54"/>
      <c r="E16" s="67"/>
      <c r="F16" s="54"/>
      <c r="G16" s="67"/>
    </row>
    <row r="17">
      <c r="A17" s="73" t="s">
        <v>165</v>
      </c>
      <c r="B17" s="74"/>
      <c r="C17" s="75"/>
      <c r="D17" s="75"/>
      <c r="E17" s="75"/>
      <c r="F17" s="75"/>
      <c r="G17" s="75"/>
    </row>
    <row r="18">
      <c r="A18" s="66"/>
      <c r="B18" s="30"/>
      <c r="C18" s="30"/>
      <c r="D18" s="30"/>
      <c r="E18" s="30"/>
      <c r="F18" s="30"/>
      <c r="G18" s="30"/>
    </row>
    <row r="19">
      <c r="A19" s="76">
        <f>A9</f>
        <v>7</v>
      </c>
      <c r="B19" s="54" t="str">
        <f>'Sprint Goals'!B8</f>
        <v>Advance core platform capabilities &amp; foundation for multi-agent workflow orchestration</v>
      </c>
      <c r="C19" s="28" t="s">
        <v>197</v>
      </c>
      <c r="D19" s="28">
        <v>3.0</v>
      </c>
      <c r="E19" s="54"/>
      <c r="F19" s="28">
        <v>3.0</v>
      </c>
      <c r="G19" s="54"/>
    </row>
    <row r="20">
      <c r="A20" s="66"/>
      <c r="B20" s="78"/>
      <c r="C20" s="32" t="s">
        <v>198</v>
      </c>
      <c r="D20" s="32">
        <v>8.0</v>
      </c>
      <c r="E20" s="30"/>
      <c r="F20" s="32">
        <v>8.0</v>
      </c>
      <c r="G20" s="30"/>
    </row>
    <row r="21">
      <c r="A21" s="52"/>
      <c r="B21" s="94"/>
      <c r="C21" s="81" t="s">
        <v>199</v>
      </c>
      <c r="D21" s="87">
        <v>5.0</v>
      </c>
      <c r="E21" s="53"/>
      <c r="F21" s="87">
        <v>5.0</v>
      </c>
      <c r="G21" s="53"/>
    </row>
    <row r="22">
      <c r="A22" s="66"/>
      <c r="B22" s="30"/>
      <c r="C22" s="30" t="s">
        <v>200</v>
      </c>
      <c r="D22" s="86">
        <v>8.0</v>
      </c>
      <c r="E22" s="30"/>
      <c r="F22" s="86">
        <v>8.0</v>
      </c>
      <c r="G22" s="30"/>
    </row>
    <row r="23">
      <c r="A23" s="80"/>
      <c r="B23" s="54"/>
      <c r="C23" s="81" t="s">
        <v>201</v>
      </c>
      <c r="D23" s="87">
        <v>3.0</v>
      </c>
      <c r="E23" s="69"/>
      <c r="F23" s="87">
        <v>3.0</v>
      </c>
      <c r="G23" s="69"/>
    </row>
    <row r="24">
      <c r="A24" s="66"/>
      <c r="B24" s="30"/>
      <c r="C24" s="32" t="s">
        <v>202</v>
      </c>
      <c r="D24" s="86">
        <v>3.0</v>
      </c>
      <c r="E24" s="30"/>
      <c r="F24" s="86">
        <v>3.0</v>
      </c>
      <c r="G24" s="30"/>
    </row>
    <row r="25">
      <c r="A25" s="54"/>
      <c r="B25" s="54"/>
      <c r="C25" s="54"/>
      <c r="D25" s="54"/>
      <c r="E25" s="54"/>
      <c r="F25" s="54"/>
      <c r="G25" s="54"/>
    </row>
    <row r="26">
      <c r="A26" s="95">
        <f>A10</f>
        <v>8</v>
      </c>
      <c r="B26" s="66" t="str">
        <f>'Sprint Goals'!B9</f>
        <v>Refine agent interaction quality, tool integration &amp; production stability</v>
      </c>
      <c r="C26" s="32" t="s">
        <v>183</v>
      </c>
      <c r="D26" s="86">
        <v>5.0</v>
      </c>
      <c r="E26" s="30"/>
      <c r="F26" s="86"/>
      <c r="G26" s="30"/>
    </row>
    <row r="27">
      <c r="A27" s="80"/>
      <c r="B27" s="54"/>
      <c r="C27" s="54" t="s">
        <v>203</v>
      </c>
      <c r="D27" s="54">
        <v>3.0</v>
      </c>
      <c r="E27" s="54"/>
      <c r="F27" s="54"/>
      <c r="G27" s="54"/>
    </row>
    <row r="28">
      <c r="A28" s="66"/>
      <c r="B28" s="30"/>
      <c r="C28" s="32" t="s">
        <v>204</v>
      </c>
      <c r="D28" s="86">
        <v>5.0</v>
      </c>
      <c r="E28" s="30"/>
      <c r="F28" s="86"/>
      <c r="G28" s="30"/>
    </row>
    <row r="29">
      <c r="A29" s="80"/>
      <c r="B29" s="54"/>
      <c r="C29" s="54" t="s">
        <v>205</v>
      </c>
      <c r="D29" s="54">
        <v>3.0</v>
      </c>
      <c r="E29" s="54"/>
      <c r="F29" s="54"/>
      <c r="G29" s="54"/>
    </row>
    <row r="30">
      <c r="A30" s="66"/>
      <c r="B30" s="30"/>
      <c r="C30" s="32" t="s">
        <v>206</v>
      </c>
      <c r="D30" s="86">
        <v>3.0</v>
      </c>
      <c r="E30" s="30"/>
      <c r="F30" s="86"/>
      <c r="G30" s="30"/>
    </row>
    <row r="31">
      <c r="A31" s="76"/>
      <c r="B31" s="54"/>
      <c r="C31" s="54" t="s">
        <v>207</v>
      </c>
      <c r="D31" s="54">
        <v>3.0</v>
      </c>
      <c r="E31" s="54"/>
      <c r="F31" s="54"/>
      <c r="G31" s="54"/>
    </row>
    <row r="32">
      <c r="A32" s="66"/>
      <c r="B32" s="78"/>
      <c r="C32" s="32" t="s">
        <v>208</v>
      </c>
      <c r="D32" s="86">
        <v>2.0</v>
      </c>
      <c r="E32" s="30"/>
      <c r="F32" s="86"/>
      <c r="G32" s="30"/>
    </row>
    <row r="33">
      <c r="A33" s="76"/>
      <c r="B33" s="54"/>
      <c r="C33" s="54"/>
      <c r="D33" s="54"/>
      <c r="E33" s="54"/>
      <c r="F33" s="54"/>
      <c r="G33" s="54"/>
    </row>
    <row r="34">
      <c r="A34" s="95">
        <f>A11</f>
        <v>9</v>
      </c>
      <c r="B34" s="96" t="str">
        <f>'Sprint Goals'!B10</f>
        <v>Conditional Multi-Agent Workflows, Unified Processing &amp; External Tool Integration</v>
      </c>
      <c r="C34" s="32" t="s">
        <v>209</v>
      </c>
      <c r="D34" s="86">
        <v>8.0</v>
      </c>
      <c r="E34" s="30"/>
      <c r="F34" s="86"/>
      <c r="G34" s="30"/>
    </row>
    <row r="35">
      <c r="A35" s="76"/>
      <c r="B35" s="54"/>
      <c r="C35" s="54" t="s">
        <v>210</v>
      </c>
      <c r="D35" s="54">
        <v>3.0</v>
      </c>
      <c r="E35" s="54"/>
      <c r="F35" s="54"/>
      <c r="G35" s="54"/>
    </row>
    <row r="36">
      <c r="A36" s="66"/>
      <c r="B36" s="78"/>
      <c r="C36" s="32" t="s">
        <v>211</v>
      </c>
      <c r="D36" s="86">
        <v>3.0</v>
      </c>
      <c r="E36" s="30"/>
      <c r="F36" s="86"/>
      <c r="G36" s="30"/>
    </row>
    <row r="37">
      <c r="A37" s="76"/>
      <c r="B37" s="54"/>
      <c r="C37" s="54" t="s">
        <v>212</v>
      </c>
      <c r="D37" s="54">
        <v>3.0</v>
      </c>
      <c r="E37" s="54"/>
      <c r="F37" s="54"/>
      <c r="G37" s="54"/>
    </row>
    <row r="38">
      <c r="A38" s="66"/>
      <c r="B38" s="78"/>
      <c r="C38" s="32" t="s">
        <v>213</v>
      </c>
      <c r="D38" s="86">
        <v>5.0</v>
      </c>
      <c r="E38" s="30"/>
      <c r="F38" s="86"/>
      <c r="G38" s="30"/>
    </row>
    <row r="39">
      <c r="A39" s="76"/>
      <c r="B39" s="54"/>
      <c r="C39" s="54"/>
      <c r="D39" s="54"/>
      <c r="E39" s="54"/>
      <c r="F39" s="54"/>
      <c r="G39" s="54"/>
    </row>
    <row r="40">
      <c r="A40" s="66"/>
      <c r="B40" s="78"/>
      <c r="C40" s="32"/>
      <c r="D40" s="86"/>
      <c r="E40" s="30"/>
      <c r="F40" s="86"/>
      <c r="G40" s="30"/>
    </row>
    <row r="41">
      <c r="A41" s="76">
        <v>10.0</v>
      </c>
      <c r="B41" s="54" t="str">
        <f>'Sprint Goals'!B11</f>
        <v>Open-Source Model Integration  &amp; Evaluation Framework</v>
      </c>
      <c r="C41" s="54" t="s">
        <v>214</v>
      </c>
      <c r="D41" s="54">
        <v>8.0</v>
      </c>
      <c r="E41" s="54"/>
      <c r="F41" s="54"/>
      <c r="G41" s="54"/>
    </row>
    <row r="42">
      <c r="A42" s="66"/>
      <c r="B42" s="78"/>
      <c r="C42" s="32" t="s">
        <v>215</v>
      </c>
      <c r="D42" s="86">
        <v>8.0</v>
      </c>
      <c r="E42" s="30"/>
      <c r="F42" s="86"/>
      <c r="G42" s="30"/>
    </row>
    <row r="43">
      <c r="A43" s="76"/>
      <c r="B43" s="54"/>
      <c r="C43" s="54" t="s">
        <v>216</v>
      </c>
      <c r="D43" s="54">
        <v>5.0</v>
      </c>
      <c r="E43" s="54"/>
      <c r="F43" s="54"/>
      <c r="G43" s="54"/>
    </row>
    <row r="44">
      <c r="A44" s="66"/>
      <c r="B44" s="78"/>
      <c r="C44" s="32" t="s">
        <v>217</v>
      </c>
      <c r="D44" s="86">
        <v>5.0</v>
      </c>
      <c r="E44" s="30"/>
      <c r="F44" s="86"/>
      <c r="G44" s="30"/>
    </row>
    <row r="45">
      <c r="A45" s="76"/>
      <c r="B45" s="54"/>
      <c r="C45" s="54"/>
      <c r="D45" s="54"/>
      <c r="E45" s="54"/>
      <c r="F45" s="54"/>
      <c r="G45" s="54"/>
    </row>
    <row r="46">
      <c r="A46" s="66"/>
      <c r="B46" s="78"/>
      <c r="C46" s="32"/>
      <c r="D46" s="86"/>
      <c r="E46" s="30"/>
      <c r="F46" s="86"/>
      <c r="G46" s="30"/>
    </row>
    <row r="47">
      <c r="A47" s="76"/>
      <c r="B47" s="54"/>
      <c r="C47" s="54"/>
      <c r="D47" s="54"/>
      <c r="E47" s="54"/>
      <c r="F47" s="54"/>
      <c r="G47" s="54"/>
    </row>
    <row r="48">
      <c r="A48" s="66"/>
      <c r="B48" s="78"/>
      <c r="C48" s="32"/>
      <c r="D48" s="86"/>
      <c r="E48" s="30"/>
      <c r="F48" s="86"/>
      <c r="G48" s="30"/>
    </row>
    <row r="49">
      <c r="A49" s="76">
        <v>11.0</v>
      </c>
      <c r="B49" s="54" t="str">
        <f>'Sprint Goals'!B12</f>
        <v>System Hardening &amp; Benchmarking</v>
      </c>
      <c r="C49" s="54" t="s">
        <v>218</v>
      </c>
      <c r="D49" s="54">
        <v>8.0</v>
      </c>
      <c r="E49" s="54"/>
      <c r="F49" s="54"/>
      <c r="G49" s="54"/>
    </row>
    <row r="50">
      <c r="A50" s="66"/>
      <c r="B50" s="78"/>
      <c r="C50" s="32" t="s">
        <v>219</v>
      </c>
      <c r="D50" s="86">
        <v>3.0</v>
      </c>
      <c r="E50" s="30"/>
      <c r="F50" s="86"/>
      <c r="G50" s="30"/>
    </row>
    <row r="51">
      <c r="A51" s="76"/>
      <c r="B51" s="54"/>
      <c r="C51" s="54" t="s">
        <v>220</v>
      </c>
      <c r="D51" s="54">
        <v>2.0</v>
      </c>
      <c r="E51" s="54"/>
      <c r="F51" s="54"/>
      <c r="G51" s="54"/>
    </row>
    <row r="52">
      <c r="A52" s="66"/>
      <c r="B52" s="78"/>
      <c r="C52" s="32" t="s">
        <v>221</v>
      </c>
      <c r="D52" s="86">
        <v>2.0</v>
      </c>
      <c r="E52" s="30"/>
      <c r="F52" s="86"/>
      <c r="G52" s="30"/>
    </row>
    <row r="53">
      <c r="A53" s="76"/>
      <c r="B53" s="54"/>
      <c r="C53" s="54" t="s">
        <v>222</v>
      </c>
      <c r="D53" s="54">
        <v>5.0</v>
      </c>
      <c r="E53" s="54"/>
      <c r="F53" s="54"/>
      <c r="G53" s="54"/>
    </row>
    <row r="54">
      <c r="A54" s="66"/>
      <c r="B54" s="78"/>
      <c r="C54" s="32" t="s">
        <v>223</v>
      </c>
      <c r="D54" s="86">
        <v>5.0</v>
      </c>
      <c r="E54" s="30"/>
      <c r="F54" s="86"/>
      <c r="G54" s="30"/>
    </row>
    <row r="55">
      <c r="A55" s="76"/>
      <c r="B55" s="54"/>
      <c r="C55" s="54"/>
      <c r="D55" s="54"/>
      <c r="E55" s="54"/>
      <c r="F55" s="54"/>
      <c r="G55" s="54"/>
    </row>
    <row r="56">
      <c r="A56" s="66"/>
      <c r="B56" s="78"/>
      <c r="C56" s="32"/>
      <c r="D56" s="86"/>
      <c r="E56" s="30"/>
      <c r="F56" s="86"/>
      <c r="G56" s="30"/>
    </row>
    <row r="57">
      <c r="A57" s="76">
        <v>12.0</v>
      </c>
      <c r="B57" s="54" t="str">
        <f>'Sprint Goals'!B13</f>
        <v>Performance Optimization &amp; Demo Day Prep</v>
      </c>
      <c r="C57" s="54" t="s">
        <v>224</v>
      </c>
      <c r="D57" s="54">
        <v>3.0</v>
      </c>
      <c r="E57" s="54"/>
      <c r="F57" s="54"/>
      <c r="G57" s="54"/>
    </row>
    <row r="58">
      <c r="A58" s="66"/>
      <c r="B58" s="78"/>
      <c r="C58" s="32" t="s">
        <v>225</v>
      </c>
      <c r="D58" s="86">
        <v>3.0</v>
      </c>
      <c r="E58" s="30"/>
      <c r="F58" s="86"/>
      <c r="G58" s="30"/>
    </row>
    <row r="59">
      <c r="A59" s="76"/>
      <c r="B59" s="54"/>
      <c r="C59" s="54" t="s">
        <v>226</v>
      </c>
      <c r="D59" s="54">
        <v>3.0</v>
      </c>
      <c r="E59" s="54"/>
      <c r="F59" s="54"/>
      <c r="G59" s="54"/>
    </row>
    <row r="60">
      <c r="A60" s="66"/>
      <c r="B60" s="78"/>
      <c r="C60" s="32" t="s">
        <v>227</v>
      </c>
      <c r="D60" s="86">
        <v>3.0</v>
      </c>
      <c r="E60" s="30"/>
      <c r="F60" s="86"/>
      <c r="G60" s="30"/>
    </row>
    <row r="61">
      <c r="A61" s="76"/>
      <c r="B61" s="54"/>
      <c r="C61" s="54" t="s">
        <v>228</v>
      </c>
      <c r="D61" s="54">
        <v>2.0</v>
      </c>
      <c r="E61" s="54"/>
      <c r="F61" s="54"/>
      <c r="G61" s="54"/>
    </row>
    <row r="62">
      <c r="A62" s="66"/>
      <c r="B62" s="78"/>
      <c r="C62" s="32" t="s">
        <v>229</v>
      </c>
      <c r="D62" s="86">
        <v>3.0</v>
      </c>
      <c r="E62" s="30"/>
      <c r="F62" s="86"/>
      <c r="G62" s="30"/>
    </row>
    <row r="63">
      <c r="A63" s="76"/>
      <c r="B63" s="54"/>
      <c r="C63" s="28" t="s">
        <v>230</v>
      </c>
      <c r="D63" s="28">
        <v>5.0</v>
      </c>
      <c r="E63" s="54"/>
      <c r="F63" s="54"/>
      <c r="G63" s="54"/>
    </row>
    <row r="64">
      <c r="A64" s="66"/>
      <c r="B64" s="78"/>
      <c r="C64" s="32"/>
      <c r="D64" s="86"/>
      <c r="E64" s="30"/>
      <c r="F64" s="86"/>
      <c r="G64" s="30"/>
    </row>
    <row r="65">
      <c r="A65" s="76">
        <v>13.0</v>
      </c>
      <c r="B65" s="54" t="str">
        <f>'Sprint Goals'!B14</f>
        <v>Handover &amp; Documentation</v>
      </c>
      <c r="C65" s="54" t="s">
        <v>231</v>
      </c>
      <c r="D65" s="54">
        <v>5.0</v>
      </c>
      <c r="E65" s="54"/>
      <c r="F65" s="54"/>
      <c r="G65" s="54"/>
    </row>
    <row r="66">
      <c r="A66" s="66"/>
      <c r="B66" s="78"/>
      <c r="C66" s="32" t="s">
        <v>232</v>
      </c>
      <c r="D66" s="86">
        <v>2.0</v>
      </c>
      <c r="E66" s="30"/>
      <c r="F66" s="86"/>
      <c r="G66" s="30"/>
    </row>
    <row r="67">
      <c r="A67" s="76"/>
      <c r="B67" s="54"/>
      <c r="C67" s="28" t="s">
        <v>233</v>
      </c>
      <c r="D67" s="28">
        <v>5.0</v>
      </c>
      <c r="E67" s="54"/>
      <c r="F67" s="54"/>
      <c r="G67" s="54"/>
    </row>
    <row r="68">
      <c r="A68" s="66"/>
      <c r="B68" s="78"/>
      <c r="C68" s="32" t="s">
        <v>234</v>
      </c>
      <c r="D68" s="86">
        <v>3.0</v>
      </c>
      <c r="E68" s="30"/>
      <c r="F68" s="86"/>
      <c r="G68" s="30"/>
    </row>
    <row r="69">
      <c r="A69" s="76"/>
      <c r="B69" s="54"/>
      <c r="C69" s="28" t="s">
        <v>235</v>
      </c>
      <c r="D69" s="28">
        <v>3.0</v>
      </c>
      <c r="E69" s="54"/>
      <c r="F69" s="54"/>
      <c r="G69" s="54"/>
    </row>
    <row r="70">
      <c r="A70" s="66"/>
      <c r="B70" s="78"/>
      <c r="C70" s="32"/>
      <c r="D70" s="86"/>
      <c r="E70" s="30"/>
      <c r="F70" s="86"/>
      <c r="G70" s="30"/>
    </row>
    <row r="71">
      <c r="A71" s="76"/>
      <c r="B71" s="54"/>
      <c r="C71" s="54"/>
      <c r="D71" s="54"/>
      <c r="E71" s="54"/>
      <c r="F71" s="54"/>
      <c r="G71" s="54"/>
    </row>
    <row r="72">
      <c r="A72" s="66"/>
      <c r="B72" s="78"/>
      <c r="C72" s="32"/>
      <c r="D72" s="86"/>
      <c r="E72" s="30"/>
      <c r="F72" s="86"/>
      <c r="G72" s="30"/>
    </row>
    <row r="73">
      <c r="A73" s="76"/>
      <c r="B73" s="54"/>
      <c r="C73" s="54"/>
      <c r="D73" s="54"/>
      <c r="E73" s="54"/>
      <c r="F73" s="54"/>
      <c r="G73" s="54"/>
    </row>
    <row r="74">
      <c r="A74" s="66"/>
      <c r="B74" s="78"/>
      <c r="C74" s="30"/>
      <c r="D74" s="60"/>
      <c r="E74" s="30"/>
      <c r="F74" s="30"/>
      <c r="G74" s="30"/>
    </row>
    <row r="75">
      <c r="A75" s="76"/>
      <c r="B75" s="54"/>
      <c r="C75" s="54"/>
      <c r="D75" s="67"/>
      <c r="E75" s="69"/>
      <c r="F75" s="69"/>
      <c r="G75" s="69"/>
    </row>
    <row r="76">
      <c r="A76" s="66"/>
      <c r="B76" s="30"/>
      <c r="C76" s="30"/>
      <c r="D76" s="60"/>
      <c r="E76" s="30"/>
      <c r="F76" s="30"/>
      <c r="G76" s="30"/>
    </row>
    <row r="77">
      <c r="A77" s="76"/>
      <c r="B77" s="54"/>
      <c r="C77" s="54"/>
      <c r="D77" s="67"/>
      <c r="E77" s="69"/>
      <c r="F77" s="69"/>
      <c r="G77" s="69"/>
    </row>
    <row r="78">
      <c r="A78" s="66"/>
      <c r="B78" s="30"/>
      <c r="C78" s="30"/>
      <c r="D78" s="60"/>
      <c r="E78" s="30"/>
      <c r="F78" s="30"/>
      <c r="G78" s="30"/>
    </row>
    <row r="79">
      <c r="A79" s="76"/>
      <c r="B79" s="54"/>
      <c r="C79" s="54"/>
      <c r="D79" s="67"/>
      <c r="E79" s="69"/>
      <c r="F79" s="69"/>
      <c r="G79" s="69"/>
    </row>
    <row r="80">
      <c r="A80" s="66"/>
      <c r="B80" s="30"/>
      <c r="C80" s="30"/>
      <c r="D80" s="60"/>
      <c r="E80" s="30"/>
      <c r="F80" s="30"/>
      <c r="G80" s="30"/>
    </row>
    <row r="81">
      <c r="A81" s="80"/>
      <c r="B81" s="54"/>
      <c r="C81" s="54"/>
      <c r="D81" s="54"/>
      <c r="E81" s="54"/>
      <c r="F81" s="54"/>
      <c r="G81" s="54"/>
    </row>
    <row r="82">
      <c r="A82" s="80"/>
      <c r="B82" s="54"/>
      <c r="C82" s="97" t="s">
        <v>193</v>
      </c>
      <c r="D82" s="54"/>
      <c r="E82" s="54"/>
      <c r="F82" s="54"/>
      <c r="G82" s="54"/>
    </row>
    <row r="83">
      <c r="A83" s="80"/>
      <c r="B83" s="54"/>
      <c r="C83" s="54"/>
      <c r="D83" s="54"/>
      <c r="E83" s="54"/>
      <c r="F83" s="54"/>
      <c r="G83" s="54"/>
    </row>
    <row r="84">
      <c r="A84" s="80"/>
      <c r="B84" s="54"/>
      <c r="C84" s="54"/>
      <c r="D84" s="54"/>
      <c r="E84" s="54"/>
      <c r="F84" s="54"/>
      <c r="G84" s="54"/>
    </row>
    <row r="85">
      <c r="A85" s="80"/>
      <c r="B85" s="54"/>
      <c r="C85" s="54"/>
      <c r="D85" s="54"/>
      <c r="E85" s="54"/>
      <c r="F85" s="54"/>
      <c r="G85" s="54"/>
    </row>
    <row r="86">
      <c r="A86" s="80"/>
      <c r="B86" s="54"/>
      <c r="C86" s="54"/>
      <c r="D86" s="54"/>
      <c r="E86" s="54"/>
      <c r="F86" s="54"/>
      <c r="G86" s="54"/>
    </row>
    <row r="87">
      <c r="A87" s="80"/>
      <c r="B87" s="54"/>
      <c r="C87" s="54"/>
      <c r="D87" s="54"/>
      <c r="E87" s="54"/>
      <c r="F87" s="54"/>
      <c r="G87" s="54"/>
    </row>
    <row r="88">
      <c r="A88" s="80"/>
      <c r="B88" s="54"/>
      <c r="C88" s="54"/>
      <c r="D88" s="54"/>
      <c r="E88" s="54"/>
      <c r="F88" s="54"/>
      <c r="G88" s="54"/>
    </row>
    <row r="89">
      <c r="A89" s="80"/>
      <c r="B89" s="54"/>
      <c r="C89" s="54"/>
      <c r="D89" s="54"/>
      <c r="E89" s="54"/>
      <c r="F89" s="54"/>
      <c r="G89" s="54"/>
    </row>
    <row r="90">
      <c r="A90" s="80"/>
      <c r="B90" s="54"/>
      <c r="C90" s="54"/>
      <c r="D90" s="54"/>
      <c r="E90" s="54"/>
      <c r="F90" s="54"/>
      <c r="G90" s="54"/>
    </row>
    <row r="91">
      <c r="A91" s="80"/>
      <c r="B91" s="54"/>
      <c r="C91" s="54"/>
      <c r="D91" s="54"/>
      <c r="E91" s="54"/>
      <c r="F91" s="54"/>
      <c r="G91" s="54"/>
    </row>
    <row r="92">
      <c r="A92" s="80"/>
      <c r="B92" s="54"/>
      <c r="C92" s="54"/>
      <c r="D92" s="54"/>
      <c r="E92" s="54"/>
      <c r="F92" s="54"/>
      <c r="G92" s="54"/>
    </row>
    <row r="93">
      <c r="A93" s="80"/>
      <c r="B93" s="54"/>
      <c r="C93" s="54"/>
      <c r="D93" s="54"/>
      <c r="E93" s="54"/>
      <c r="F93" s="54"/>
      <c r="G93" s="54"/>
    </row>
    <row r="94">
      <c r="A94" s="80"/>
      <c r="B94" s="54"/>
      <c r="C94" s="54"/>
      <c r="D94" s="54"/>
      <c r="E94" s="54"/>
      <c r="F94" s="54"/>
      <c r="G94" s="54"/>
    </row>
    <row r="95">
      <c r="A95" s="80"/>
      <c r="B95" s="54"/>
      <c r="C95" s="54"/>
      <c r="D95" s="54"/>
      <c r="E95" s="54"/>
      <c r="F95" s="54"/>
      <c r="G95" s="54"/>
    </row>
    <row r="96">
      <c r="A96" s="80"/>
      <c r="B96" s="54"/>
      <c r="C96" s="54"/>
      <c r="D96" s="54"/>
      <c r="E96" s="54"/>
      <c r="F96" s="54"/>
      <c r="G96" s="54"/>
    </row>
    <row r="97">
      <c r="A97" s="80"/>
      <c r="B97" s="54"/>
      <c r="C97" s="54"/>
      <c r="D97" s="54"/>
      <c r="E97" s="54"/>
      <c r="F97" s="54"/>
      <c r="G97" s="54"/>
    </row>
    <row r="98">
      <c r="A98" s="80"/>
      <c r="B98" s="54"/>
      <c r="C98" s="54"/>
      <c r="D98" s="54"/>
      <c r="E98" s="54"/>
      <c r="F98" s="54"/>
      <c r="G98" s="54"/>
    </row>
    <row r="99">
      <c r="A99" s="80"/>
      <c r="B99" s="54"/>
      <c r="C99" s="54"/>
      <c r="D99" s="54"/>
      <c r="E99" s="54"/>
      <c r="F99" s="54"/>
      <c r="G99" s="54"/>
    </row>
    <row r="100">
      <c r="A100" s="80"/>
      <c r="B100" s="54"/>
      <c r="C100" s="54"/>
      <c r="D100" s="54"/>
      <c r="E100" s="54"/>
      <c r="F100" s="54"/>
      <c r="G100" s="54"/>
    </row>
    <row r="101">
      <c r="A101" s="80"/>
      <c r="B101" s="54"/>
      <c r="C101" s="54"/>
      <c r="D101" s="54"/>
      <c r="E101" s="54"/>
      <c r="F101" s="54"/>
      <c r="G101" s="54"/>
    </row>
    <row r="102">
      <c r="A102" s="80"/>
      <c r="B102" s="54"/>
      <c r="C102" s="54"/>
      <c r="D102" s="54"/>
      <c r="E102" s="54"/>
      <c r="F102" s="54"/>
      <c r="G102" s="54"/>
    </row>
    <row r="103">
      <c r="A103" s="80"/>
      <c r="B103" s="54"/>
      <c r="C103" s="54"/>
      <c r="D103" s="54"/>
      <c r="E103" s="54"/>
      <c r="F103" s="54"/>
      <c r="G103" s="54"/>
    </row>
    <row r="104">
      <c r="A104" s="80"/>
      <c r="B104" s="54"/>
      <c r="C104" s="54"/>
      <c r="D104" s="54"/>
      <c r="E104" s="54"/>
      <c r="F104" s="54"/>
      <c r="G104" s="54"/>
    </row>
    <row r="105">
      <c r="A105" s="80"/>
      <c r="B105" s="54"/>
      <c r="C105" s="54"/>
      <c r="D105" s="54"/>
      <c r="E105" s="54"/>
      <c r="F105" s="54"/>
      <c r="G105" s="54"/>
    </row>
    <row r="106">
      <c r="A106" s="80"/>
      <c r="B106" s="54"/>
      <c r="C106" s="54"/>
      <c r="D106" s="54"/>
      <c r="E106" s="54"/>
      <c r="F106" s="54"/>
      <c r="G106" s="54"/>
    </row>
    <row r="107">
      <c r="A107" s="80"/>
      <c r="B107" s="54"/>
      <c r="C107" s="54"/>
      <c r="D107" s="54"/>
      <c r="E107" s="54"/>
      <c r="F107" s="54"/>
      <c r="G107"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98" t="s">
        <v>69</v>
      </c>
      <c r="B1" s="49" t="s">
        <v>236</v>
      </c>
      <c r="C1" s="49" t="s">
        <v>237</v>
      </c>
      <c r="D1" s="99" t="s">
        <v>238</v>
      </c>
    </row>
    <row r="2">
      <c r="A2" s="2"/>
      <c r="B2" s="2" t="s">
        <v>239</v>
      </c>
      <c r="C2" s="3"/>
      <c r="D2" s="3"/>
    </row>
    <row r="3">
      <c r="A3" s="3"/>
      <c r="B3" s="2" t="s">
        <v>240</v>
      </c>
      <c r="C3" s="3"/>
      <c r="D3" s="3"/>
    </row>
    <row r="4">
      <c r="A4" s="3"/>
      <c r="B4" s="2" t="s">
        <v>241</v>
      </c>
      <c r="C4" s="3"/>
      <c r="D4" s="3"/>
    </row>
    <row r="5">
      <c r="A5" s="3"/>
      <c r="B5" s="2" t="s">
        <v>242</v>
      </c>
      <c r="C5" s="3"/>
      <c r="D5" s="3"/>
    </row>
    <row r="6">
      <c r="A6" s="3"/>
      <c r="B6" s="3"/>
      <c r="C6" s="2" t="s">
        <v>243</v>
      </c>
      <c r="D6" s="3"/>
    </row>
    <row r="7">
      <c r="A7" s="3"/>
      <c r="B7" s="3"/>
      <c r="C7" s="2" t="s">
        <v>244</v>
      </c>
      <c r="D7" s="3"/>
    </row>
    <row r="8">
      <c r="A8" s="3"/>
      <c r="B8" s="3"/>
      <c r="C8" s="2" t="s">
        <v>245</v>
      </c>
    </row>
    <row r="9">
      <c r="A9" s="3"/>
      <c r="B9" s="3"/>
      <c r="C9" s="3"/>
      <c r="D9" s="2" t="s">
        <v>246</v>
      </c>
    </row>
    <row r="10">
      <c r="A10" s="3"/>
      <c r="B10" s="3"/>
      <c r="C10" s="3"/>
      <c r="D10" s="2" t="s">
        <v>247</v>
      </c>
    </row>
    <row r="11">
      <c r="A11" s="3"/>
      <c r="B11" s="3"/>
      <c r="C11" s="3"/>
      <c r="D11" s="2" t="s">
        <v>248</v>
      </c>
    </row>
    <row r="12">
      <c r="A12" s="3"/>
      <c r="B12" s="3"/>
      <c r="C12" s="3"/>
      <c r="D12" s="2" t="s">
        <v>249</v>
      </c>
    </row>
    <row r="13">
      <c r="A13" s="3"/>
      <c r="B13" s="3"/>
      <c r="C13" s="3"/>
      <c r="D13" s="2" t="s">
        <v>250</v>
      </c>
    </row>
    <row r="14">
      <c r="A14" s="3"/>
      <c r="B14" s="3"/>
      <c r="C14" s="3"/>
      <c r="D14" s="2" t="s">
        <v>251</v>
      </c>
    </row>
    <row r="15">
      <c r="A15" s="3"/>
      <c r="B15" s="3"/>
      <c r="C15" s="3"/>
      <c r="D15" s="2" t="s">
        <v>252</v>
      </c>
    </row>
    <row r="16">
      <c r="A16" s="3"/>
      <c r="B16" s="3"/>
      <c r="C16" s="3"/>
      <c r="D16" s="2" t="s">
        <v>253</v>
      </c>
    </row>
    <row r="17">
      <c r="A17" s="3"/>
      <c r="B17" s="3"/>
      <c r="C17" s="3"/>
      <c r="D17" s="2" t="s">
        <v>254</v>
      </c>
    </row>
    <row r="18">
      <c r="A18" s="3"/>
      <c r="B18" s="3"/>
      <c r="C18" s="3"/>
      <c r="D18" s="2" t="s">
        <v>255</v>
      </c>
    </row>
    <row r="19">
      <c r="A19" s="3"/>
      <c r="B19" s="3"/>
      <c r="C19" s="3"/>
      <c r="D19" s="3"/>
    </row>
    <row r="20">
      <c r="A20" s="3"/>
      <c r="B20" s="3"/>
      <c r="C20" s="3"/>
      <c r="D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256</v>
      </c>
      <c r="B1" s="4" t="s">
        <v>257</v>
      </c>
    </row>
    <row r="2">
      <c r="A2" s="2" t="s">
        <v>258</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259</v>
      </c>
      <c r="C1" s="4" t="s">
        <v>260</v>
      </c>
      <c r="D1" s="4" t="s">
        <v>261</v>
      </c>
      <c r="E1" s="4" t="s">
        <v>262</v>
      </c>
      <c r="F1" s="4" t="s">
        <v>76</v>
      </c>
    </row>
    <row r="2">
      <c r="A2" s="2">
        <v>1.0</v>
      </c>
      <c r="B2" s="2" t="s">
        <v>263</v>
      </c>
      <c r="C2" s="2" t="s">
        <v>264</v>
      </c>
      <c r="D2" s="2" t="s">
        <v>265</v>
      </c>
      <c r="E2" s="2" t="s">
        <v>266</v>
      </c>
      <c r="F2" s="2" t="s">
        <v>267</v>
      </c>
    </row>
    <row r="3">
      <c r="A3" s="2">
        <v>2.0</v>
      </c>
      <c r="B3" s="2" t="s">
        <v>263</v>
      </c>
      <c r="C3" s="2" t="s">
        <v>268</v>
      </c>
      <c r="D3" s="2" t="s">
        <v>269</v>
      </c>
      <c r="E3" s="2" t="s">
        <v>270</v>
      </c>
      <c r="F3" s="35" t="s">
        <v>271</v>
      </c>
    </row>
    <row r="4">
      <c r="A4" s="2">
        <v>3.0</v>
      </c>
      <c r="B4" s="2" t="s">
        <v>263</v>
      </c>
      <c r="C4" s="2" t="s">
        <v>272</v>
      </c>
      <c r="D4" s="2" t="s">
        <v>273</v>
      </c>
      <c r="E4" s="2" t="s">
        <v>266</v>
      </c>
      <c r="F4" s="2" t="s">
        <v>274</v>
      </c>
    </row>
    <row r="5">
      <c r="A5" s="2">
        <v>4.0</v>
      </c>
      <c r="B5" s="2" t="s">
        <v>263</v>
      </c>
      <c r="C5" s="2" t="s">
        <v>275</v>
      </c>
      <c r="D5" s="2" t="s">
        <v>276</v>
      </c>
      <c r="E5" s="2" t="s">
        <v>266</v>
      </c>
      <c r="F5" s="35" t="s">
        <v>277</v>
      </c>
    </row>
    <row r="6">
      <c r="A6" s="2">
        <v>5.0</v>
      </c>
      <c r="B6" s="2" t="s">
        <v>263</v>
      </c>
      <c r="C6" s="2" t="s">
        <v>278</v>
      </c>
      <c r="D6" s="2" t="s">
        <v>279</v>
      </c>
      <c r="E6" s="2" t="s">
        <v>270</v>
      </c>
      <c r="F6" s="35" t="s">
        <v>280</v>
      </c>
    </row>
    <row r="7">
      <c r="A7" s="2">
        <v>6.0</v>
      </c>
      <c r="B7" s="2" t="s">
        <v>263</v>
      </c>
      <c r="C7" s="2" t="s">
        <v>281</v>
      </c>
      <c r="D7" s="2" t="s">
        <v>282</v>
      </c>
      <c r="E7" s="2" t="s">
        <v>283</v>
      </c>
      <c r="F7" s="35" t="s">
        <v>284</v>
      </c>
    </row>
    <row r="8">
      <c r="A8" s="2">
        <v>7.0</v>
      </c>
      <c r="B8" s="2" t="s">
        <v>263</v>
      </c>
      <c r="C8" s="2" t="s">
        <v>285</v>
      </c>
      <c r="D8" s="2" t="s">
        <v>286</v>
      </c>
      <c r="E8" s="2" t="s">
        <v>266</v>
      </c>
      <c r="F8" s="35" t="s">
        <v>287</v>
      </c>
    </row>
    <row r="9">
      <c r="A9" s="2">
        <v>8.0</v>
      </c>
      <c r="B9" s="2" t="s">
        <v>263</v>
      </c>
      <c r="C9" s="2" t="s">
        <v>288</v>
      </c>
      <c r="D9" s="2" t="s">
        <v>289</v>
      </c>
      <c r="E9" s="2" t="s">
        <v>266</v>
      </c>
      <c r="F9" s="35" t="s">
        <v>290</v>
      </c>
    </row>
    <row r="10">
      <c r="A10" s="2">
        <v>9.0</v>
      </c>
      <c r="B10" s="2" t="s">
        <v>263</v>
      </c>
      <c r="C10" s="2" t="s">
        <v>291</v>
      </c>
      <c r="D10" s="2" t="s">
        <v>292</v>
      </c>
      <c r="E10" s="35" t="s">
        <v>293</v>
      </c>
      <c r="F10" s="35" t="s">
        <v>294</v>
      </c>
    </row>
    <row r="11">
      <c r="A11" s="2">
        <v>10.0</v>
      </c>
      <c r="B11" s="2" t="s">
        <v>263</v>
      </c>
      <c r="C11" s="35" t="s">
        <v>295</v>
      </c>
      <c r="D11" s="2" t="s">
        <v>296</v>
      </c>
      <c r="E11" s="2" t="s">
        <v>266</v>
      </c>
      <c r="F11" s="35" t="s">
        <v>297</v>
      </c>
    </row>
    <row r="12">
      <c r="A12" s="2">
        <v>11.0</v>
      </c>
      <c r="B12" s="2" t="s">
        <v>263</v>
      </c>
      <c r="C12" s="100" t="s">
        <v>298</v>
      </c>
      <c r="D12" s="100" t="s">
        <v>299</v>
      </c>
      <c r="E12" s="100" t="s">
        <v>300</v>
      </c>
      <c r="F12" s="100" t="s">
        <v>301</v>
      </c>
    </row>
    <row r="13">
      <c r="A13" s="2">
        <v>12.0</v>
      </c>
      <c r="B13" s="2" t="s">
        <v>263</v>
      </c>
      <c r="C13" s="100" t="s">
        <v>302</v>
      </c>
      <c r="D13" s="100" t="s">
        <v>303</v>
      </c>
      <c r="E13" s="2" t="s">
        <v>283</v>
      </c>
      <c r="F13" s="100" t="s">
        <v>304</v>
      </c>
    </row>
    <row r="14">
      <c r="A14" s="2">
        <v>13.0</v>
      </c>
      <c r="B14" s="2" t="s">
        <v>263</v>
      </c>
      <c r="C14" s="100" t="s">
        <v>305</v>
      </c>
      <c r="D14" s="100" t="s">
        <v>306</v>
      </c>
      <c r="E14" s="2" t="s">
        <v>283</v>
      </c>
      <c r="F14" s="100" t="s">
        <v>307</v>
      </c>
    </row>
    <row r="15">
      <c r="A15" s="2">
        <v>14.0</v>
      </c>
      <c r="B15" s="2" t="s">
        <v>263</v>
      </c>
      <c r="C15" s="100" t="s">
        <v>308</v>
      </c>
      <c r="D15" s="100" t="s">
        <v>306</v>
      </c>
      <c r="E15" s="2" t="s">
        <v>283</v>
      </c>
      <c r="F15" s="100" t="s">
        <v>309</v>
      </c>
    </row>
    <row r="16">
      <c r="A16" s="2">
        <v>15.0</v>
      </c>
      <c r="B16" s="2" t="s">
        <v>263</v>
      </c>
      <c r="C16" s="2" t="s">
        <v>310</v>
      </c>
      <c r="D16" s="2" t="s">
        <v>311</v>
      </c>
      <c r="E16" s="2" t="s">
        <v>270</v>
      </c>
      <c r="F16" s="35" t="s">
        <v>312</v>
      </c>
    </row>
    <row r="17">
      <c r="A17" s="2">
        <v>16.0</v>
      </c>
      <c r="B17" s="2" t="s">
        <v>313</v>
      </c>
      <c r="C17" s="2" t="s">
        <v>314</v>
      </c>
      <c r="D17" s="2" t="s">
        <v>315</v>
      </c>
      <c r="E17" s="2" t="s">
        <v>266</v>
      </c>
      <c r="F17" s="35" t="s">
        <v>316</v>
      </c>
    </row>
    <row r="18">
      <c r="A18" s="2">
        <v>17.0</v>
      </c>
      <c r="B18" s="2" t="s">
        <v>313</v>
      </c>
      <c r="C18" s="2" t="s">
        <v>317</v>
      </c>
      <c r="D18" s="2" t="s">
        <v>315</v>
      </c>
      <c r="E18" s="35" t="s">
        <v>266</v>
      </c>
      <c r="F18" s="35" t="s">
        <v>318</v>
      </c>
    </row>
    <row r="19">
      <c r="A19" s="2">
        <v>18.0</v>
      </c>
      <c r="B19" s="2" t="s">
        <v>313</v>
      </c>
      <c r="C19" s="2" t="s">
        <v>319</v>
      </c>
      <c r="D19" s="2" t="s">
        <v>320</v>
      </c>
      <c r="E19" s="35" t="s">
        <v>283</v>
      </c>
      <c r="F19" s="35" t="s">
        <v>321</v>
      </c>
    </row>
    <row r="20">
      <c r="A20" s="2">
        <v>19.0</v>
      </c>
      <c r="B20" s="2" t="s">
        <v>313</v>
      </c>
      <c r="C20" s="2" t="s">
        <v>322</v>
      </c>
      <c r="D20" s="35" t="s">
        <v>276</v>
      </c>
      <c r="E20" s="35" t="s">
        <v>283</v>
      </c>
      <c r="F20" s="35" t="s">
        <v>323</v>
      </c>
    </row>
    <row r="21">
      <c r="A21" s="2">
        <v>20.0</v>
      </c>
      <c r="B21" s="2" t="s">
        <v>313</v>
      </c>
      <c r="C21" s="2" t="s">
        <v>324</v>
      </c>
      <c r="D21" s="2" t="s">
        <v>325</v>
      </c>
      <c r="E21" s="35" t="s">
        <v>283</v>
      </c>
      <c r="F21" s="35" t="s">
        <v>326</v>
      </c>
    </row>
    <row r="22">
      <c r="A22" s="2">
        <v>21.0</v>
      </c>
      <c r="B22" s="35" t="s">
        <v>313</v>
      </c>
      <c r="C22" s="35" t="s">
        <v>327</v>
      </c>
      <c r="D22" s="35" t="s">
        <v>328</v>
      </c>
      <c r="E22" s="35" t="s">
        <v>266</v>
      </c>
      <c r="F22" s="35" t="s">
        <v>329</v>
      </c>
    </row>
    <row r="23">
      <c r="A23" s="2">
        <v>22.0</v>
      </c>
      <c r="B23" s="2" t="s">
        <v>313</v>
      </c>
      <c r="C23" s="35" t="s">
        <v>330</v>
      </c>
      <c r="D23" s="35" t="s">
        <v>331</v>
      </c>
      <c r="E23" s="35" t="s">
        <v>266</v>
      </c>
      <c r="F23" s="35" t="s">
        <v>332</v>
      </c>
    </row>
    <row r="24">
      <c r="A24" s="2">
        <v>23.0</v>
      </c>
      <c r="B24" s="2" t="s">
        <v>313</v>
      </c>
      <c r="C24" s="35" t="s">
        <v>333</v>
      </c>
      <c r="D24" s="35" t="s">
        <v>334</v>
      </c>
      <c r="E24" s="35" t="s">
        <v>266</v>
      </c>
      <c r="F24" s="35" t="s">
        <v>335</v>
      </c>
    </row>
    <row r="25">
      <c r="A25" s="2">
        <v>24.0</v>
      </c>
      <c r="B25" s="2" t="s">
        <v>313</v>
      </c>
      <c r="C25" s="35" t="s">
        <v>336</v>
      </c>
      <c r="D25" s="35" t="s">
        <v>325</v>
      </c>
      <c r="E25" s="35" t="s">
        <v>266</v>
      </c>
      <c r="F25" s="35" t="s">
        <v>337</v>
      </c>
    </row>
    <row r="26">
      <c r="A26" s="2">
        <v>25.0</v>
      </c>
      <c r="B26" s="2" t="s">
        <v>313</v>
      </c>
      <c r="C26" s="35" t="s">
        <v>338</v>
      </c>
      <c r="D26" s="35" t="s">
        <v>339</v>
      </c>
      <c r="E26" s="35" t="s">
        <v>283</v>
      </c>
      <c r="F26" s="35" t="s">
        <v>340</v>
      </c>
    </row>
    <row r="27">
      <c r="A27" s="2">
        <v>26.0</v>
      </c>
      <c r="B27" s="2" t="s">
        <v>313</v>
      </c>
      <c r="C27" s="35" t="s">
        <v>341</v>
      </c>
      <c r="D27" s="35" t="s">
        <v>342</v>
      </c>
      <c r="E27" s="35" t="s">
        <v>266</v>
      </c>
      <c r="F27" s="35" t="s">
        <v>343</v>
      </c>
    </row>
    <row r="28">
      <c r="A28" s="2">
        <v>27.0</v>
      </c>
      <c r="B28" s="2" t="s">
        <v>313</v>
      </c>
      <c r="C28" s="35" t="s">
        <v>344</v>
      </c>
      <c r="D28" s="35" t="s">
        <v>345</v>
      </c>
      <c r="E28" s="35" t="s">
        <v>300</v>
      </c>
      <c r="F28" s="35" t="s">
        <v>346</v>
      </c>
    </row>
    <row r="29">
      <c r="A29" s="2">
        <v>28.0</v>
      </c>
      <c r="B29" s="2" t="s">
        <v>313</v>
      </c>
      <c r="C29" s="35" t="s">
        <v>347</v>
      </c>
      <c r="D29" s="35" t="s">
        <v>348</v>
      </c>
      <c r="E29" s="35" t="s">
        <v>266</v>
      </c>
      <c r="F29" s="35" t="s">
        <v>349</v>
      </c>
    </row>
    <row r="30">
      <c r="A30" s="2">
        <v>29.0</v>
      </c>
      <c r="B30" s="2" t="s">
        <v>313</v>
      </c>
      <c r="C30" s="35" t="s">
        <v>350</v>
      </c>
      <c r="D30" s="35" t="s">
        <v>320</v>
      </c>
      <c r="E30" s="35" t="s">
        <v>266</v>
      </c>
      <c r="F30" s="35" t="s">
        <v>351</v>
      </c>
    </row>
    <row r="31">
      <c r="A31" s="2">
        <v>30.0</v>
      </c>
      <c r="B31" s="35" t="s">
        <v>263</v>
      </c>
      <c r="C31" s="35" t="s">
        <v>352</v>
      </c>
      <c r="D31" s="35" t="s">
        <v>353</v>
      </c>
      <c r="E31" s="35" t="s">
        <v>266</v>
      </c>
      <c r="F31" s="35" t="s">
        <v>354</v>
      </c>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row r="41">
      <c r="A41" s="2"/>
      <c r="B41" s="2"/>
      <c r="C41" s="35"/>
      <c r="D41" s="35"/>
      <c r="E41" s="35"/>
      <c r="F41" s="35"/>
    </row>
    <row r="42">
      <c r="A42" s="2"/>
      <c r="B42" s="2"/>
      <c r="C42" s="35"/>
      <c r="D42" s="35"/>
      <c r="E42" s="35"/>
      <c r="F42" s="35"/>
    </row>
    <row r="43">
      <c r="A43" s="2"/>
      <c r="B43" s="2"/>
      <c r="C43" s="35"/>
      <c r="D43" s="35"/>
      <c r="E43" s="35"/>
      <c r="F43" s="35"/>
    </row>
    <row r="44">
      <c r="A44" s="2"/>
      <c r="B44" s="2"/>
      <c r="C44" s="35"/>
      <c r="D44" s="35"/>
      <c r="E44" s="35"/>
      <c r="F44" s="3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1" t="str">
        <f>'Project Team'!A1</f>
        <v>Last Name</v>
      </c>
      <c r="B1" s="101" t="str">
        <f>'Project Team'!B1</f>
        <v>First Name</v>
      </c>
      <c r="C1" s="102" t="s">
        <v>355</v>
      </c>
      <c r="D1" s="103"/>
      <c r="E1" s="104"/>
      <c r="F1" s="105"/>
      <c r="G1" s="106"/>
      <c r="H1" s="106"/>
    </row>
    <row r="2">
      <c r="A2" s="107" t="str">
        <f>'Project Team'!A2</f>
        <v>Fatima</v>
      </c>
      <c r="B2" s="107" t="str">
        <f>'Project Team'!B2</f>
        <v>Qiblatain</v>
      </c>
      <c r="C2" s="108">
        <v>0.0</v>
      </c>
      <c r="D2" s="109"/>
      <c r="E2" s="110">
        <f>average(C2:C10)</f>
        <v>0</v>
      </c>
      <c r="F2" s="111" t="str">
        <f>if(stdev(C2:C7) &gt; 0,"NOK", "OK")</f>
        <v>OK</v>
      </c>
      <c r="G2" s="112"/>
      <c r="H2" s="112"/>
    </row>
    <row r="3">
      <c r="A3" s="113" t="str">
        <f>'Project Team'!A3</f>
        <v>Huy</v>
      </c>
      <c r="B3" s="113" t="str">
        <f>'Project Team'!B3</f>
        <v>Christoph</v>
      </c>
      <c r="C3" s="108">
        <v>0.0</v>
      </c>
      <c r="D3" s="114"/>
      <c r="G3" s="115"/>
      <c r="H3" s="115"/>
    </row>
    <row r="4">
      <c r="A4" s="107" t="str">
        <f>'Project Team'!A4</f>
        <v>Raza</v>
      </c>
      <c r="B4" s="107" t="str">
        <f>'Project Team'!B4</f>
        <v>Asad</v>
      </c>
      <c r="C4" s="116"/>
      <c r="D4" s="109"/>
      <c r="G4" s="112"/>
      <c r="H4" s="112"/>
    </row>
    <row r="5">
      <c r="A5" s="113" t="str">
        <f>'Project Team'!A5</f>
        <v>Jokiel</v>
      </c>
      <c r="B5" s="113" t="str">
        <f>'Project Team'!B5</f>
        <v>Rene</v>
      </c>
      <c r="C5" s="117"/>
      <c r="D5" s="118"/>
      <c r="E5" s="118"/>
      <c r="F5" s="118"/>
      <c r="G5" s="115"/>
      <c r="H5" s="115"/>
    </row>
    <row r="6">
      <c r="A6" s="107" t="str">
        <f>'Project Team'!A6</f>
        <v>Mosler</v>
      </c>
      <c r="B6" s="107" t="str">
        <f>'Project Team'!B6</f>
        <v>Carl</v>
      </c>
      <c r="C6" s="108"/>
      <c r="D6" s="119"/>
      <c r="E6" s="120">
        <v>0.0</v>
      </c>
      <c r="F6" s="121" t="s">
        <v>356</v>
      </c>
      <c r="G6" s="112"/>
      <c r="H6" s="112"/>
    </row>
    <row r="7">
      <c r="A7" s="113" t="str">
        <f>'Project Team'!A7</f>
        <v>Vineesh</v>
      </c>
      <c r="B7" s="113" t="str">
        <f>'Project Team'!B7</f>
        <v>Koppay</v>
      </c>
      <c r="C7" s="116"/>
      <c r="D7" s="118"/>
      <c r="E7" s="120">
        <v>1.0</v>
      </c>
      <c r="F7" s="121" t="s">
        <v>357</v>
      </c>
      <c r="G7" s="115"/>
      <c r="H7" s="115"/>
    </row>
    <row r="8">
      <c r="A8" s="107" t="str">
        <f>'Project Team'!A8</f>
        <v>Moeez</v>
      </c>
      <c r="B8" s="107" t="str">
        <f>'Project Team'!B8</f>
        <v>Abdul</v>
      </c>
      <c r="C8" s="117"/>
      <c r="D8" s="119"/>
      <c r="E8" s="120">
        <v>2.0</v>
      </c>
      <c r="F8" s="121" t="s">
        <v>358</v>
      </c>
      <c r="G8" s="112"/>
      <c r="H8" s="112"/>
    </row>
    <row r="9">
      <c r="A9" s="113" t="str">
        <f>'Project Team'!A9</f>
        <v>Thakur</v>
      </c>
      <c r="B9" s="113" t="str">
        <f>'Project Team'!B9</f>
        <v>Shikhar</v>
      </c>
      <c r="C9" s="117"/>
      <c r="D9" s="118"/>
      <c r="E9" s="120">
        <v>3.0</v>
      </c>
      <c r="F9" s="121" t="s">
        <v>359</v>
      </c>
      <c r="G9" s="115"/>
      <c r="H9" s="115"/>
    </row>
    <row r="10">
      <c r="A10" s="107" t="str">
        <f>'Project Team'!A10</f>
        <v>Dhruvin</v>
      </c>
      <c r="B10" s="107" t="str">
        <f>'Project Team'!B10</f>
        <v>Vekariya</v>
      </c>
      <c r="C10" s="117"/>
      <c r="D10" s="119"/>
      <c r="E10" s="120">
        <v>5.0</v>
      </c>
      <c r="F10" s="121" t="s">
        <v>360</v>
      </c>
      <c r="G10" s="112"/>
      <c r="H10" s="112"/>
    </row>
    <row r="11">
      <c r="A11" s="113"/>
      <c r="B11" s="113"/>
      <c r="C11" s="116"/>
      <c r="D11" s="118"/>
      <c r="E11" s="120">
        <v>8.0</v>
      </c>
      <c r="F11" s="121" t="s">
        <v>361</v>
      </c>
      <c r="G11" s="115"/>
      <c r="H11" s="115"/>
    </row>
    <row r="12">
      <c r="A12" s="107"/>
      <c r="B12" s="107"/>
      <c r="C12" s="116"/>
      <c r="D12" s="119"/>
      <c r="E12" s="120">
        <v>13.0</v>
      </c>
      <c r="F12" s="121" t="s">
        <v>362</v>
      </c>
      <c r="G12" s="112"/>
      <c r="H12" s="112"/>
    </row>
    <row r="13">
      <c r="A13" s="113"/>
      <c r="B13" s="113"/>
      <c r="C13" s="118"/>
      <c r="D13" s="118"/>
      <c r="E13" s="118"/>
      <c r="F13" s="118"/>
      <c r="G13" s="115"/>
      <c r="H13" s="115"/>
    </row>
    <row r="14">
      <c r="A14" s="122" t="s">
        <v>363</v>
      </c>
      <c r="B14" s="123"/>
      <c r="C14" s="123"/>
      <c r="D14" s="123"/>
      <c r="E14" s="123"/>
      <c r="F14" s="123"/>
      <c r="G14" s="123"/>
      <c r="H14" s="123"/>
    </row>
    <row r="15">
      <c r="A15" s="124"/>
      <c r="B15" s="124"/>
      <c r="C15" s="124"/>
      <c r="D15" s="124"/>
      <c r="E15" s="124"/>
      <c r="F15" s="124"/>
      <c r="G15" s="124"/>
      <c r="H15" s="124"/>
    </row>
    <row r="16">
      <c r="A16" s="125" t="s">
        <v>364</v>
      </c>
      <c r="B16" s="126"/>
      <c r="C16" s="126"/>
      <c r="D16" s="126"/>
      <c r="E16" s="126"/>
      <c r="F16" s="126"/>
      <c r="G16" s="126"/>
      <c r="H16" s="126"/>
    </row>
    <row r="17">
      <c r="A17" s="127" t="s">
        <v>365</v>
      </c>
      <c r="B17" s="124"/>
      <c r="C17" s="124"/>
      <c r="D17" s="124"/>
      <c r="E17" s="124"/>
      <c r="F17" s="124"/>
      <c r="G17" s="124"/>
      <c r="H17" s="124"/>
    </row>
    <row r="18">
      <c r="A18" s="125" t="s">
        <v>366</v>
      </c>
      <c r="B18" s="126"/>
      <c r="C18" s="126"/>
      <c r="D18" s="126"/>
      <c r="E18" s="126"/>
      <c r="F18" s="126"/>
      <c r="G18" s="126"/>
      <c r="H18" s="126"/>
    </row>
    <row r="19">
      <c r="A19" s="124"/>
      <c r="B19" s="124"/>
      <c r="C19" s="124"/>
      <c r="D19" s="124"/>
      <c r="E19" s="124"/>
      <c r="F19" s="124"/>
      <c r="G19" s="124"/>
      <c r="H19" s="124"/>
    </row>
    <row r="20">
      <c r="A20" s="126"/>
      <c r="B20" s="126"/>
      <c r="C20" s="126"/>
      <c r="D20" s="126"/>
      <c r="E20" s="126"/>
      <c r="F20" s="126"/>
      <c r="G20" s="126"/>
      <c r="H20" s="12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143</v>
      </c>
      <c r="B1" s="4" t="s">
        <v>194</v>
      </c>
      <c r="C1" s="4" t="str">
        <f>"Average Realized (" &amp; ROUND(AVERAGE(B2:B16), 0) &amp; " SP/s)"</f>
        <v>Average Realized (21 SP/s)</v>
      </c>
      <c r="E1" s="35" t="s">
        <v>367</v>
      </c>
      <c r="F1" s="48" t="s">
        <v>155</v>
      </c>
      <c r="G1" s="49" t="s">
        <v>156</v>
      </c>
      <c r="H1" s="50" t="s">
        <v>157</v>
      </c>
      <c r="I1" s="51" t="s">
        <v>158</v>
      </c>
      <c r="J1" s="51" t="s">
        <v>159</v>
      </c>
      <c r="K1" s="51" t="s">
        <v>160</v>
      </c>
      <c r="L1" s="51" t="s">
        <v>161</v>
      </c>
      <c r="M1" s="128" t="s">
        <v>368</v>
      </c>
    </row>
    <row r="2">
      <c r="A2" s="43">
        <v>1.0</v>
      </c>
      <c r="B2" s="43">
        <f>'Velocity Tracking'!B2</f>
        <v>1</v>
      </c>
      <c r="C2" s="129">
        <f t="shared" ref="C2:C15" si="1">AVERAGE($B$2:$B$16)</f>
        <v>20.85714286</v>
      </c>
      <c r="F2" s="52"/>
      <c r="G2" s="53"/>
      <c r="H2" s="54"/>
      <c r="I2" s="54"/>
      <c r="J2" s="54"/>
      <c r="K2" s="54"/>
      <c r="L2" s="54"/>
      <c r="M2" s="130"/>
    </row>
    <row r="3">
      <c r="A3" s="43">
        <f t="shared" ref="A3:A15" si="2">A2+1</f>
        <v>2</v>
      </c>
      <c r="B3" s="43">
        <f>'Velocity Tracking'!B3</f>
        <v>12</v>
      </c>
      <c r="C3" s="129">
        <f t="shared" si="1"/>
        <v>20.85714286</v>
      </c>
      <c r="F3" s="55" t="s">
        <v>162</v>
      </c>
      <c r="G3" s="56"/>
      <c r="H3" s="57"/>
      <c r="I3" s="57"/>
      <c r="J3" s="57"/>
      <c r="K3" s="57"/>
      <c r="L3" s="57"/>
      <c r="M3" s="131"/>
    </row>
    <row r="4">
      <c r="A4" s="43">
        <f t="shared" si="2"/>
        <v>3</v>
      </c>
      <c r="B4" s="43">
        <f>'Velocity Tracking'!B4</f>
        <v>18</v>
      </c>
      <c r="C4" s="129">
        <f t="shared" si="1"/>
        <v>20.85714286</v>
      </c>
      <c r="F4" s="52"/>
      <c r="G4" s="53"/>
      <c r="H4" s="54"/>
      <c r="I4" s="54"/>
      <c r="J4" s="54"/>
      <c r="K4" s="54"/>
      <c r="L4" s="54"/>
      <c r="M4" s="130"/>
    </row>
    <row r="5">
      <c r="A5" s="43">
        <f t="shared" si="2"/>
        <v>4</v>
      </c>
      <c r="B5" s="43">
        <f>'Velocity Tracking'!B5</f>
        <v>36</v>
      </c>
      <c r="C5" s="129">
        <f t="shared" si="1"/>
        <v>20.85714286</v>
      </c>
      <c r="F5" s="58" t="s">
        <v>163</v>
      </c>
      <c r="G5" s="59"/>
      <c r="H5" s="30"/>
      <c r="I5" s="60">
        <f>SUM(I8:I15)</f>
        <v>120</v>
      </c>
      <c r="J5" s="60">
        <f>I5</f>
        <v>120</v>
      </c>
      <c r="K5" s="30"/>
      <c r="L5" s="30"/>
      <c r="M5" s="132">
        <f>I5/6</f>
        <v>20</v>
      </c>
    </row>
    <row r="6">
      <c r="A6" s="43">
        <f t="shared" si="2"/>
        <v>5</v>
      </c>
      <c r="B6" s="43">
        <f>'Velocity Tracking'!B6</f>
        <v>28</v>
      </c>
      <c r="C6" s="129">
        <f t="shared" si="1"/>
        <v>20.85714286</v>
      </c>
      <c r="F6" s="52"/>
      <c r="G6" s="53"/>
      <c r="H6" s="54"/>
      <c r="I6" s="54"/>
      <c r="J6" s="54"/>
      <c r="K6" s="54"/>
      <c r="L6" s="54"/>
      <c r="M6" s="130"/>
    </row>
    <row r="7">
      <c r="A7" s="43">
        <f t="shared" si="2"/>
        <v>6</v>
      </c>
      <c r="B7" s="43">
        <f>'Velocity Tracking'!B7</f>
        <v>21</v>
      </c>
      <c r="C7" s="129">
        <f t="shared" si="1"/>
        <v>20.85714286</v>
      </c>
      <c r="F7" s="61" t="s">
        <v>164</v>
      </c>
      <c r="G7" s="62"/>
      <c r="H7" s="63"/>
      <c r="I7" s="63"/>
      <c r="J7" s="63"/>
      <c r="K7" s="63"/>
      <c r="L7" s="63"/>
      <c r="M7" s="133"/>
    </row>
    <row r="8">
      <c r="A8" s="43">
        <f t="shared" si="2"/>
        <v>7</v>
      </c>
      <c r="B8" s="43">
        <f>'Velocity Tracking'!B8</f>
        <v>30</v>
      </c>
      <c r="C8" s="129">
        <f t="shared" si="1"/>
        <v>20.85714286</v>
      </c>
      <c r="F8" s="64" t="s">
        <v>164</v>
      </c>
      <c r="G8" s="53"/>
      <c r="H8" s="54"/>
      <c r="I8" s="54"/>
      <c r="J8" s="65" t="s">
        <v>159</v>
      </c>
      <c r="K8" s="54"/>
      <c r="L8" s="65" t="s">
        <v>161</v>
      </c>
      <c r="M8" s="134" t="str">
        <f>"Development Speed (≈" &amp; ROUND(M5, 0) &amp; " SP/s)"</f>
        <v>Development Speed (≈20 SP/s)</v>
      </c>
    </row>
    <row r="9">
      <c r="A9" s="43">
        <f t="shared" si="2"/>
        <v>8</v>
      </c>
      <c r="B9" s="43" t="str">
        <f>'Velocity Tracking'!B9</f>
        <v/>
      </c>
      <c r="C9" s="129">
        <f t="shared" si="1"/>
        <v>20.85714286</v>
      </c>
      <c r="F9" s="66">
        <v>1.0</v>
      </c>
      <c r="G9" s="58"/>
      <c r="H9" s="30"/>
      <c r="I9" s="60">
        <f>'Mid-Project Release plan'!D9</f>
        <v>1</v>
      </c>
      <c r="J9" s="60">
        <f>'Mid-Project Release plan'!E9</f>
        <v>120</v>
      </c>
      <c r="K9" s="60">
        <f>'Mid-Project Release plan'!F9</f>
        <v>1</v>
      </c>
      <c r="L9" s="60">
        <f>'Mid-Project Release plan'!G9</f>
        <v>120</v>
      </c>
      <c r="M9" s="135">
        <f>$I$5</f>
        <v>120</v>
      </c>
    </row>
    <row r="10">
      <c r="A10" s="43">
        <f t="shared" si="2"/>
        <v>9</v>
      </c>
      <c r="B10" s="43" t="str">
        <f>'Velocity Tracking'!B10</f>
        <v/>
      </c>
      <c r="C10" s="129">
        <f t="shared" si="1"/>
        <v>20.85714286</v>
      </c>
      <c r="F10" s="52">
        <f t="shared" ref="F10:F11" si="3">F9+1</f>
        <v>2</v>
      </c>
      <c r="G10" s="53"/>
      <c r="H10" s="54"/>
      <c r="I10" s="60">
        <f>'Mid-Project Release plan'!D10</f>
        <v>16</v>
      </c>
      <c r="J10" s="60">
        <f>'Mid-Project Release plan'!E10</f>
        <v>119</v>
      </c>
      <c r="K10" s="60">
        <f>'Mid-Project Release plan'!F10</f>
        <v>12</v>
      </c>
      <c r="L10" s="60">
        <f>'Mid-Project Release plan'!G10</f>
        <v>119</v>
      </c>
      <c r="M10" s="135">
        <f t="shared" ref="M10:M15" si="4">M9-$M$5</f>
        <v>100</v>
      </c>
    </row>
    <row r="11">
      <c r="A11" s="43">
        <f t="shared" si="2"/>
        <v>10</v>
      </c>
      <c r="B11" s="43" t="str">
        <f>'Velocity Tracking'!B11</f>
        <v/>
      </c>
      <c r="C11" s="129">
        <f t="shared" si="1"/>
        <v>20.85714286</v>
      </c>
      <c r="F11" s="66">
        <f t="shared" si="3"/>
        <v>3</v>
      </c>
      <c r="G11" s="58"/>
      <c r="H11" s="30"/>
      <c r="I11" s="60">
        <f>'Mid-Project Release plan'!D11</f>
        <v>19</v>
      </c>
      <c r="J11" s="60">
        <f>'Mid-Project Release plan'!E11</f>
        <v>103</v>
      </c>
      <c r="K11" s="60">
        <f>'Mid-Project Release plan'!F11</f>
        <v>18</v>
      </c>
      <c r="L11" s="60">
        <f>'Mid-Project Release plan'!G11</f>
        <v>107</v>
      </c>
      <c r="M11" s="135">
        <f t="shared" si="4"/>
        <v>80</v>
      </c>
    </row>
    <row r="12">
      <c r="A12" s="43">
        <f t="shared" si="2"/>
        <v>11</v>
      </c>
      <c r="B12" s="43" t="str">
        <f>'Velocity Tracking'!B12</f>
        <v/>
      </c>
      <c r="C12" s="129">
        <f t="shared" si="1"/>
        <v>20.85714286</v>
      </c>
      <c r="F12" s="68">
        <v>4.0</v>
      </c>
      <c r="G12" s="69"/>
      <c r="H12" s="54"/>
      <c r="I12" s="60">
        <f>'Mid-Project Release plan'!D12</f>
        <v>30</v>
      </c>
      <c r="J12" s="60">
        <f>'Mid-Project Release plan'!E12</f>
        <v>84</v>
      </c>
      <c r="K12" s="60">
        <f>'Mid-Project Release plan'!F12</f>
        <v>36</v>
      </c>
      <c r="L12" s="60">
        <f>'Mid-Project Release plan'!G12</f>
        <v>89</v>
      </c>
      <c r="M12" s="135">
        <f t="shared" si="4"/>
        <v>60</v>
      </c>
    </row>
    <row r="13">
      <c r="A13" s="43">
        <f t="shared" si="2"/>
        <v>12</v>
      </c>
      <c r="B13" s="43" t="str">
        <f>'Velocity Tracking'!B13</f>
        <v/>
      </c>
      <c r="C13" s="129">
        <f t="shared" si="1"/>
        <v>20.85714286</v>
      </c>
      <c r="F13" s="70">
        <v>5.0</v>
      </c>
      <c r="G13" s="58"/>
      <c r="H13" s="30"/>
      <c r="I13" s="60">
        <f>'Mid-Project Release plan'!D13</f>
        <v>29</v>
      </c>
      <c r="J13" s="60">
        <f>'Mid-Project Release plan'!E13</f>
        <v>54</v>
      </c>
      <c r="K13" s="60">
        <f>'Mid-Project Release plan'!F13</f>
        <v>28</v>
      </c>
      <c r="L13" s="60">
        <f>'Mid-Project Release plan'!G13</f>
        <v>53</v>
      </c>
      <c r="M13" s="135">
        <f t="shared" si="4"/>
        <v>40</v>
      </c>
    </row>
    <row r="14">
      <c r="A14" s="43">
        <f t="shared" si="2"/>
        <v>13</v>
      </c>
      <c r="B14" s="43" t="str">
        <f>'Velocity Tracking'!B14</f>
        <v/>
      </c>
      <c r="C14" s="129">
        <f t="shared" si="1"/>
        <v>20.85714286</v>
      </c>
      <c r="F14" s="71">
        <v>6.0</v>
      </c>
      <c r="I14" s="60">
        <f>'Mid-Project Release plan'!D14</f>
        <v>25</v>
      </c>
      <c r="J14" s="60">
        <f>'Mid-Project Release plan'!E14</f>
        <v>25</v>
      </c>
      <c r="K14" s="60">
        <f>'Mid-Project Release plan'!F14</f>
        <v>21</v>
      </c>
      <c r="L14" s="60">
        <f>'Mid-Project Release plan'!G14</f>
        <v>25</v>
      </c>
      <c r="M14" s="135">
        <f t="shared" si="4"/>
        <v>20</v>
      </c>
    </row>
    <row r="15">
      <c r="A15" s="43">
        <f t="shared" si="2"/>
        <v>14</v>
      </c>
      <c r="B15" s="43" t="str">
        <f>'Velocity Tracking'!B15</f>
        <v/>
      </c>
      <c r="C15" s="129">
        <f t="shared" si="1"/>
        <v>20.85714286</v>
      </c>
      <c r="F15" s="43"/>
      <c r="G15" s="3"/>
      <c r="H15" s="3"/>
      <c r="I15" s="60" t="str">
        <f>'Mid-Project Release plan'!D15</f>
        <v/>
      </c>
      <c r="J15" s="60" t="str">
        <f>'Mid-Project Release plan'!E15</f>
        <v/>
      </c>
      <c r="K15" s="60" t="str">
        <f>'Mid-Project Release plan'!F15</f>
        <v/>
      </c>
      <c r="L15" s="60" t="str">
        <f>'Mid-Project Release plan'!G15</f>
        <v/>
      </c>
      <c r="M15" s="135">
        <f t="shared" si="4"/>
        <v>0</v>
      </c>
    </row>
    <row r="16">
      <c r="A16" s="43"/>
      <c r="B16" s="43"/>
      <c r="C16" s="129"/>
    </row>
    <row r="18">
      <c r="E18" s="35" t="s">
        <v>369</v>
      </c>
      <c r="F18" s="48" t="s">
        <v>155</v>
      </c>
      <c r="G18" s="91" t="s">
        <v>156</v>
      </c>
      <c r="H18" s="50" t="s">
        <v>157</v>
      </c>
      <c r="I18" s="51" t="s">
        <v>158</v>
      </c>
      <c r="J18" s="51" t="s">
        <v>159</v>
      </c>
      <c r="K18" s="51" t="s">
        <v>160</v>
      </c>
      <c r="L18" s="51" t="s">
        <v>161</v>
      </c>
      <c r="M18" s="128" t="s">
        <v>368</v>
      </c>
    </row>
    <row r="19">
      <c r="F19" s="52"/>
      <c r="G19" s="54"/>
      <c r="H19" s="54"/>
      <c r="I19" s="54"/>
      <c r="J19" s="54"/>
      <c r="K19" s="54"/>
      <c r="L19" s="54"/>
      <c r="M19" s="130"/>
    </row>
    <row r="20">
      <c r="F20" s="55" t="s">
        <v>162</v>
      </c>
      <c r="G20" s="57"/>
      <c r="H20" s="57"/>
      <c r="I20" s="57"/>
      <c r="J20" s="57"/>
      <c r="K20" s="57"/>
      <c r="L20" s="57"/>
      <c r="M20" s="131"/>
    </row>
    <row r="21">
      <c r="F21" s="52"/>
      <c r="G21" s="54"/>
      <c r="H21" s="54"/>
      <c r="I21" s="54"/>
      <c r="J21" s="54"/>
      <c r="K21" s="54"/>
      <c r="L21" s="54"/>
      <c r="M21" s="130"/>
    </row>
    <row r="22">
      <c r="F22" s="58" t="s">
        <v>163</v>
      </c>
      <c r="G22" s="30"/>
      <c r="H22" s="30"/>
      <c r="I22" s="60">
        <f>sum(I25:I32)</f>
        <v>167</v>
      </c>
      <c r="J22" s="60">
        <f>I22</f>
        <v>167</v>
      </c>
      <c r="K22" s="30"/>
      <c r="L22" s="30"/>
      <c r="M22" s="132">
        <f>I22/7</f>
        <v>23.85714286</v>
      </c>
    </row>
    <row r="23">
      <c r="F23" s="52"/>
      <c r="G23" s="54"/>
      <c r="H23" s="54"/>
      <c r="I23" s="54"/>
      <c r="J23" s="54"/>
      <c r="K23" s="54"/>
      <c r="L23" s="54"/>
      <c r="M23" s="130"/>
    </row>
    <row r="24">
      <c r="F24" s="61" t="s">
        <v>164</v>
      </c>
      <c r="G24" s="92"/>
      <c r="H24" s="63"/>
      <c r="I24" s="63"/>
      <c r="J24" s="63"/>
      <c r="K24" s="63"/>
      <c r="L24" s="63"/>
      <c r="M24" s="133"/>
    </row>
    <row r="25">
      <c r="F25" s="52"/>
      <c r="G25" s="54"/>
      <c r="H25" s="54"/>
      <c r="I25" s="54"/>
      <c r="J25" s="93" t="s">
        <v>159</v>
      </c>
      <c r="L25" s="93" t="s">
        <v>161</v>
      </c>
      <c r="M25" s="134" t="str">
        <f>"Development Speed (≈" &amp; ROUND(M22, 0) &amp; " SP/s)"</f>
        <v>Development Speed (≈24 SP/s)</v>
      </c>
    </row>
    <row r="26">
      <c r="F26" s="70">
        <v>7.0</v>
      </c>
      <c r="G26" s="30"/>
      <c r="H26" s="30"/>
      <c r="I26" s="60">
        <f>'Final Project Release plan'!D9</f>
        <v>30</v>
      </c>
      <c r="J26" s="60">
        <f>'Final Project Release plan'!E9</f>
        <v>167</v>
      </c>
      <c r="K26" s="60">
        <f>'Final Project Release plan'!F9</f>
        <v>30</v>
      </c>
      <c r="L26" s="60">
        <f>'Final Project Release plan'!G9</f>
        <v>167</v>
      </c>
      <c r="M26" s="135">
        <f>$I$22</f>
        <v>167</v>
      </c>
    </row>
    <row r="27">
      <c r="F27" s="52">
        <f t="shared" ref="F27:F28" si="5">F26+1</f>
        <v>8</v>
      </c>
      <c r="G27" s="54"/>
      <c r="H27" s="54"/>
      <c r="I27" s="60">
        <f>'Final Project Release plan'!D10</f>
        <v>24</v>
      </c>
      <c r="J27" s="60">
        <f>'Final Project Release plan'!E10</f>
        <v>137</v>
      </c>
      <c r="K27" s="60">
        <f>'Final Project Release plan'!F10</f>
        <v>0</v>
      </c>
      <c r="L27" s="60">
        <f>'Final Project Release plan'!G10</f>
        <v>137</v>
      </c>
      <c r="M27" s="136">
        <f t="shared" ref="M27:M32" si="6">M26-$M$22</f>
        <v>143.1428571</v>
      </c>
    </row>
    <row r="28">
      <c r="F28" s="66">
        <f t="shared" si="5"/>
        <v>9</v>
      </c>
      <c r="G28" s="30"/>
      <c r="H28" s="30"/>
      <c r="I28" s="60">
        <f>'Final Project Release plan'!D11</f>
        <v>22</v>
      </c>
      <c r="J28" s="60">
        <f>'Final Project Release plan'!E11</f>
        <v>113</v>
      </c>
      <c r="K28" s="60">
        <f>'Final Project Release plan'!F11</f>
        <v>0</v>
      </c>
      <c r="L28" s="60">
        <f>'Final Project Release plan'!G11</f>
        <v>137</v>
      </c>
      <c r="M28" s="136">
        <f t="shared" si="6"/>
        <v>119.2857143</v>
      </c>
    </row>
    <row r="29">
      <c r="F29" s="68">
        <v>10.0</v>
      </c>
      <c r="G29" s="54"/>
      <c r="H29" s="54"/>
      <c r="I29" s="60">
        <f>'Final Project Release plan'!D12</f>
        <v>26</v>
      </c>
      <c r="J29" s="60">
        <f>'Final Project Release plan'!E12</f>
        <v>91</v>
      </c>
      <c r="K29" s="60">
        <f>'Final Project Release plan'!F12</f>
        <v>0</v>
      </c>
      <c r="L29" s="60">
        <f>'Final Project Release plan'!G12</f>
        <v>137</v>
      </c>
      <c r="M29" s="136">
        <f t="shared" si="6"/>
        <v>95.42857143</v>
      </c>
    </row>
    <row r="30">
      <c r="F30" s="66">
        <v>11.0</v>
      </c>
      <c r="G30" s="30"/>
      <c r="H30" s="30"/>
      <c r="I30" s="60">
        <f>'Final Project Release plan'!D13</f>
        <v>25</v>
      </c>
      <c r="J30" s="60">
        <f>'Final Project Release plan'!E13</f>
        <v>65</v>
      </c>
      <c r="K30" s="60">
        <f>'Final Project Release plan'!F13</f>
        <v>0</v>
      </c>
      <c r="L30" s="60">
        <f>'Final Project Release plan'!G13</f>
        <v>137</v>
      </c>
      <c r="M30" s="136">
        <f t="shared" si="6"/>
        <v>71.57142857</v>
      </c>
    </row>
    <row r="31">
      <c r="F31" s="68">
        <v>12.0</v>
      </c>
      <c r="G31" s="54"/>
      <c r="H31" s="54"/>
      <c r="I31" s="60">
        <f>'Final Project Release plan'!D14</f>
        <v>22</v>
      </c>
      <c r="J31" s="60">
        <f>'Final Project Release plan'!E14</f>
        <v>40</v>
      </c>
      <c r="K31" s="60">
        <f>'Final Project Release plan'!F14</f>
        <v>0</v>
      </c>
      <c r="L31" s="60">
        <f>'Final Project Release plan'!G14</f>
        <v>137</v>
      </c>
      <c r="M31" s="136">
        <f t="shared" si="6"/>
        <v>47.71428571</v>
      </c>
    </row>
    <row r="32">
      <c r="F32" s="66">
        <v>13.0</v>
      </c>
      <c r="G32" s="30"/>
      <c r="H32" s="30"/>
      <c r="I32" s="60">
        <f>'Final Project Release plan'!D15</f>
        <v>18</v>
      </c>
      <c r="J32" s="60">
        <f>'Final Project Release plan'!E15</f>
        <v>18</v>
      </c>
      <c r="K32" s="60">
        <f>'Final Project Release plan'!F15</f>
        <v>0</v>
      </c>
      <c r="L32" s="60">
        <f>'Final Project Release plan'!G15</f>
        <v>137</v>
      </c>
      <c r="M32" s="136">
        <f t="shared" si="6"/>
        <v>23.85714286</v>
      </c>
    </row>
    <row r="33">
      <c r="F33" s="68"/>
      <c r="G33" s="54"/>
      <c r="H33" s="54"/>
      <c r="L33" s="67"/>
      <c r="M33" s="136"/>
    </row>
  </sheetData>
  <drawing r:id="rId1"/>
  <tableParts count="3">
    <tablePart r:id="rId5"/>
    <tablePart r:id="rId6"/>
    <tablePart r:id="rId7"/>
  </tableParts>
</worksheet>
</file>