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hartsheets/sheet1.xml" ContentType="application/vnd.openxmlformats-officedocument.spreadsheetml.chartsheet+xml"/>
  <Override PartName="/xl/drawings/drawing2.xml" ContentType="application/vnd.openxmlformats-officedocument.drawing+xml"/>
  <Override PartName="/xl/chartsheets/sheet2.xml" ContentType="application/vnd.openxmlformats-officedocument.spreadsheetml.chart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Mid-Project Release plan" sheetId="8" state="visible" r:id="rId8"/>
    <sheet name="Burndown Chart - MidRelease" sheetId="9" state="visible" r:id="rId9"/>
    <sheet name="Velocity Tracking" sheetId="10" state="visible" r:id="rId10"/>
    <sheet name="Velocity Chart" sheetId="11" state="visible" r:id="rId11"/>
    <sheet name="Final Project Release plan" sheetId="12" state="visible" r:id="rId12"/>
    <sheet name="Burndown Chart - Final Release" sheetId="13" state="visible" r:id="rId13"/>
    <sheet name="Definition of Done" sheetId="14" state="visible" r:id="rId14"/>
    <sheet name="Documentation" sheetId="15" state="visible" r:id="rId15"/>
    <sheet name="Bill of Materials" sheetId="16" state="visible" r:id="rId16"/>
    <sheet name="Planning Poker" sheetId="17" state="visible" r:id="rId17"/>
    <sheet name="Calculations" sheetId="18" state="visible" r:id="rId18"/>
  </sheets>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name val="Arial"/>
      <b val="1"/>
    </font>
    <font>
      <name val="Arial"/>
    </font>
    <font>
      <name val="Arial"/>
      <sz val="10"/>
    </font>
    <font>
      <name val="Arial"/>
      <color rgb="FFFFFFFF"/>
    </font>
    <font>
      <name val="Arial"/>
      <b val="1"/>
      <color rgb="FFFF0000"/>
    </font>
    <font>
      <name val="Arial"/>
      <b val="1"/>
      <sz val="24"/>
    </font>
    <font>
      <name val="Arial"/>
      <color rgb="FF000000"/>
    </font>
  </fonts>
  <fills count="10">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EFEFEF"/>
        <bgColor rgb="FFEFEFEF"/>
      </patternFill>
    </fill>
  </fills>
  <borders count="1">
    <border/>
  </borders>
  <cellStyleXfs count="1">
    <xf numFmtId="0" fontId="0" fillId="0" borderId="0"/>
  </cellStyleXfs>
  <cellXfs count="140">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1" fillId="0" borderId="0" applyAlignment="1" pivotButton="0" quotePrefix="0" xfId="0">
      <alignment wrapText="1"/>
    </xf>
    <xf numFmtId="0" fontId="5" fillId="0" borderId="0" applyAlignment="1" pivotButton="0" quotePrefix="0" xfId="0">
      <alignment wrapText="1"/>
    </xf>
    <xf numFmtId="0" fontId="1" fillId="0" borderId="0" applyAlignment="1" pivotButton="0" quotePrefix="0" xfId="0">
      <alignment/>
    </xf>
    <xf numFmtId="0" fontId="2" fillId="0" borderId="0" applyAlignment="1" pivotButton="0" quotePrefix="0" xfId="0">
      <alignment/>
    </xf>
    <xf numFmtId="0" fontId="2" fillId="0" borderId="0" applyAlignment="1" pivotButton="0" quotePrefix="0" xfId="0">
      <alignment/>
    </xf>
    <xf numFmtId="0" fontId="2" fillId="0" borderId="0" applyAlignment="1" pivotButton="0" quotePrefix="0" xfId="0">
      <alignment/>
    </xf>
    <xf numFmtId="0" fontId="1" fillId="0" borderId="0" applyAlignment="1" pivotButton="0" quotePrefix="0" xfId="0">
      <alignment/>
    </xf>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applyAlignment="1" pivotButton="0" quotePrefix="0" xfId="0">
      <alignment/>
    </xf>
    <xf numFmtId="165" fontId="2" fillId="0" borderId="0" applyAlignment="1" pivotButton="0" quotePrefix="0" xfId="0">
      <alignment horizontal="left"/>
    </xf>
    <xf numFmtId="164" fontId="2" fillId="0" borderId="0" applyAlignment="1" pivotButton="0" quotePrefix="0" xfId="0">
      <alignment/>
    </xf>
    <xf numFmtId="0" fontId="2" fillId="0" borderId="0" applyAlignment="1" pivotButton="0" quotePrefix="0" xfId="0">
      <alignment horizontal="left"/>
    </xf>
    <xf numFmtId="165" fontId="2" fillId="0" borderId="0" applyAlignment="1" pivotButton="0" quotePrefix="0" xfId="0">
      <alignment/>
    </xf>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6" fillId="3" borderId="0" applyAlignment="1" pivotButton="0" quotePrefix="0" xfId="0">
      <alignment vertical="bottom" wrapText="1"/>
    </xf>
    <xf numFmtId="0" fontId="7" fillId="3" borderId="0" applyAlignment="1" pivotButton="0" quotePrefix="0" xfId="0">
      <alignment vertical="bottom" wrapText="1"/>
    </xf>
    <xf numFmtId="0" fontId="7" fillId="4" borderId="0" applyAlignment="1" pivotButton="0" quotePrefix="0" xfId="0">
      <alignment vertical="bottom" wrapText="1"/>
    </xf>
    <xf numFmtId="0" fontId="7" fillId="4" borderId="0" applyAlignment="1" pivotButton="0" quotePrefix="0" xfId="0">
      <alignment vertical="bottom" wrapText="1"/>
    </xf>
    <xf numFmtId="0" fontId="6" fillId="3" borderId="0" applyAlignment="1" pivotButton="0" quotePrefix="0" xfId="0">
      <alignment vertical="bottom" wrapText="1"/>
    </xf>
    <xf numFmtId="0" fontId="7" fillId="4" borderId="0" applyAlignment="1" pivotButton="0" quotePrefix="0" xfId="0">
      <alignment vertical="bottom" wrapText="1"/>
    </xf>
    <xf numFmtId="0" fontId="6"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7" fillId="4" borderId="0" applyAlignment="1" pivotButton="0" quotePrefix="0" xfId="0">
      <alignment vertical="top" wrapText="1"/>
    </xf>
    <xf numFmtId="0" fontId="1" fillId="0" borderId="0" applyAlignment="1" pivotButton="0" quotePrefix="0" xfId="0">
      <alignment wrapText="1"/>
    </xf>
    <xf numFmtId="0" fontId="2" fillId="0" borderId="0" applyAlignment="1" pivotButton="0" quotePrefix="0" xfId="0">
      <alignment vertical="center"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8" fillId="0" borderId="0" applyAlignment="1" pivotButton="0" quotePrefix="0" xfId="0">
      <alignment horizontal="left" wrapText="1"/>
    </xf>
    <xf numFmtId="0" fontId="0" fillId="3" borderId="0" applyAlignment="1" pivotButton="0" quotePrefix="0" xfId="0">
      <alignment horizontal="left" wrapText="1"/>
    </xf>
    <xf numFmtId="0" fontId="0" fillId="0" borderId="0" applyAlignment="1" pivotButton="0" quotePrefix="0" xfId="0">
      <alignment horizontal="left" vertical="top" wrapText="1"/>
    </xf>
    <xf numFmtId="0" fontId="2" fillId="0" borderId="0" applyAlignment="1" pivotButton="0" quotePrefix="0" xfId="0">
      <alignment horizontal="left" wrapText="1"/>
    </xf>
    <xf numFmtId="0" fontId="6" fillId="2" borderId="0" applyAlignment="1" pivotButton="0" quotePrefix="0" xfId="0">
      <alignment horizontal="left" vertical="bottom" wrapText="1"/>
    </xf>
    <xf numFmtId="0" fontId="6" fillId="2" borderId="0" applyAlignment="1" pivotButton="0" quotePrefix="0" xfId="0">
      <alignment vertical="bottom"/>
    </xf>
    <xf numFmtId="0" fontId="6" fillId="2" borderId="0" applyAlignment="1" pivotButton="0" quotePrefix="0" xfId="0">
      <alignment vertical="bottom"/>
    </xf>
    <xf numFmtId="0" fontId="6" fillId="2" borderId="0" applyAlignment="1" pivotButton="0" quotePrefix="0" xfId="0">
      <alignment horizontal="center" vertical="bottom" wrapText="1"/>
    </xf>
    <xf numFmtId="0" fontId="7" fillId="3" borderId="0" applyAlignment="1" pivotButton="0" quotePrefix="0" xfId="0">
      <alignment horizontal="left" vertical="bottom" wrapText="1"/>
    </xf>
    <xf numFmtId="0" fontId="7" fillId="3" borderId="0" applyAlignment="1" pivotButton="0" quotePrefix="0" xfId="0">
      <alignment vertical="bottom"/>
    </xf>
    <xf numFmtId="0" fontId="7" fillId="3" borderId="0" applyAlignment="1" pivotButton="0" quotePrefix="0" xfId="0">
      <alignment vertical="bottom" wrapText="1"/>
    </xf>
    <xf numFmtId="0" fontId="6" fillId="5" borderId="0" applyAlignment="1" pivotButton="0" quotePrefix="0" xfId="0">
      <alignment horizontal="left" vertical="bottom"/>
    </xf>
    <xf numFmtId="0" fontId="7" fillId="5" borderId="0" applyAlignment="1" pivotButton="0" quotePrefix="0" xfId="0">
      <alignment vertical="bottom"/>
    </xf>
    <xf numFmtId="0" fontId="7" fillId="5" borderId="0" applyAlignment="1" pivotButton="0" quotePrefix="0" xfId="0">
      <alignment vertical="bottom" wrapText="1"/>
    </xf>
    <xf numFmtId="0" fontId="6" fillId="4" borderId="0" applyAlignment="1" pivotButton="0" quotePrefix="0" xfId="0">
      <alignment vertical="bottom"/>
    </xf>
    <xf numFmtId="0" fontId="2" fillId="0" borderId="0" applyAlignment="1" pivotButton="0" quotePrefix="0" xfId="0">
      <alignment/>
    </xf>
    <xf numFmtId="0" fontId="7" fillId="4" borderId="0" applyAlignment="1" pivotButton="0" quotePrefix="0" xfId="0">
      <alignment horizontal="right" vertical="bottom"/>
    </xf>
    <xf numFmtId="0" fontId="6" fillId="6" borderId="0" applyAlignment="1" pivotButton="0" quotePrefix="0" xfId="0">
      <alignment horizontal="left" vertical="bottom"/>
    </xf>
    <xf numFmtId="0" fontId="6" fillId="6" borderId="0" applyAlignment="1" pivotButton="0" quotePrefix="0" xfId="0">
      <alignment vertical="bottom"/>
    </xf>
    <xf numFmtId="0" fontId="7" fillId="6" borderId="0" applyAlignment="1" pivotButton="0" quotePrefix="0" xfId="0">
      <alignment vertical="bottom" wrapText="1"/>
    </xf>
    <xf numFmtId="0" fontId="9" fillId="3" borderId="0" applyAlignment="1" pivotButton="0" quotePrefix="0" xfId="0">
      <alignment horizontal="left" vertical="bottom" wrapText="1"/>
    </xf>
    <xf numFmtId="0" fontId="9" fillId="3" borderId="0" applyAlignment="1" pivotButton="0" quotePrefix="0" xfId="0">
      <alignment horizontal="center" vertical="bottom"/>
    </xf>
    <xf numFmtId="0" fontId="7" fillId="4" borderId="0" applyAlignment="1" pivotButton="0" quotePrefix="0" xfId="0">
      <alignment horizontal="left" vertical="bottom" wrapText="1"/>
    </xf>
    <xf numFmtId="0" fontId="7" fillId="3" borderId="0" applyAlignment="1" pivotButton="0" quotePrefix="0" xfId="0">
      <alignment horizontal="right" vertical="bottom"/>
    </xf>
    <xf numFmtId="0" fontId="7" fillId="3" borderId="0" applyAlignment="1" pivotButton="0" quotePrefix="0" xfId="0">
      <alignment horizontal="left" vertical="bottom" wrapText="1"/>
    </xf>
    <xf numFmtId="0" fontId="7" fillId="3" borderId="0" applyAlignment="1" pivotButton="0" quotePrefix="0" xfId="0">
      <alignment vertical="bottom"/>
    </xf>
    <xf numFmtId="0" fontId="7" fillId="4" borderId="0" applyAlignment="1" pivotButton="0" quotePrefix="0" xfId="0">
      <alignment horizontal="left" vertical="bottom" wrapText="1"/>
    </xf>
    <xf numFmtId="0" fontId="2" fillId="0" borderId="0" applyAlignment="1" pivotButton="0" quotePrefix="0" xfId="0">
      <alignment horizontal="left" wrapText="1"/>
    </xf>
    <xf numFmtId="0" fontId="7" fillId="4" borderId="0" applyAlignment="1" pivotButton="0" quotePrefix="0" xfId="0">
      <alignment vertical="bottom"/>
    </xf>
    <xf numFmtId="0" fontId="6" fillId="7" borderId="0" applyAlignment="1" pivotButton="0" quotePrefix="0" xfId="0">
      <alignment horizontal="left" vertical="bottom"/>
    </xf>
    <xf numFmtId="0" fontId="6" fillId="7" borderId="0" applyAlignment="1" pivotButton="0" quotePrefix="0" xfId="0">
      <alignment vertical="bottom"/>
    </xf>
    <xf numFmtId="0" fontId="7" fillId="7" borderId="0" applyAlignment="1" pivotButton="0" quotePrefix="0" xfId="0">
      <alignment vertical="bottom" wrapText="1"/>
    </xf>
    <xf numFmtId="0" fontId="6" fillId="3" borderId="0" applyAlignment="1" pivotButton="0" quotePrefix="0" xfId="0">
      <alignment horizontal="left" vertical="bottom"/>
    </xf>
    <xf numFmtId="0" fontId="6" fillId="3" borderId="0" applyAlignment="1" pivotButton="0" quotePrefix="0" xfId="0">
      <alignment vertical="bottom"/>
    </xf>
    <xf numFmtId="0" fontId="7" fillId="4" borderId="0" applyAlignment="1" pivotButton="0" quotePrefix="0" xfId="0">
      <alignment vertical="bottom"/>
    </xf>
    <xf numFmtId="0" fontId="7" fillId="3" borderId="0" applyAlignment="1" pivotButton="0" quotePrefix="0" xfId="0">
      <alignment horizontal="right" vertical="bottom"/>
    </xf>
    <xf numFmtId="0" fontId="7" fillId="3" borderId="0" applyAlignment="1" pivotButton="0" quotePrefix="0" xfId="0">
      <alignment horizontal="left" vertical="bottom" wrapText="1"/>
    </xf>
    <xf numFmtId="0" fontId="7" fillId="3" borderId="0" applyAlignment="1" pivotButton="0" quotePrefix="0" xfId="0">
      <alignment vertical="bottom"/>
    </xf>
    <xf numFmtId="0" fontId="7" fillId="4" borderId="0" applyAlignment="1" pivotButton="0" quotePrefix="0" xfId="0">
      <alignment horizontal="right" vertical="bottom" wrapText="1"/>
    </xf>
    <xf numFmtId="0" fontId="6" fillId="4" borderId="0" applyAlignment="1" pivotButton="0" quotePrefix="0" xfId="0">
      <alignment vertical="bottom"/>
    </xf>
    <xf numFmtId="0" fontId="6" fillId="3" borderId="0" applyAlignment="1" pivotButton="0" quotePrefix="0" xfId="0">
      <alignment vertical="bottom"/>
    </xf>
    <xf numFmtId="0" fontId="6" fillId="4" borderId="0" applyAlignment="1" pivotButton="0" quotePrefix="0" xfId="0">
      <alignment vertical="bottom" wrapText="1"/>
    </xf>
    <xf numFmtId="0" fontId="7" fillId="4" borderId="0" applyAlignment="1" pivotButton="0" quotePrefix="0" xfId="0">
      <alignment horizontal="right" vertical="bottom"/>
    </xf>
    <xf numFmtId="0" fontId="7" fillId="3" borderId="0" applyAlignment="1" pivotButton="0" quotePrefix="0" xfId="0">
      <alignment horizontal="right" vertical="bottom"/>
    </xf>
    <xf numFmtId="0" fontId="2" fillId="4" borderId="0" applyAlignment="1" pivotButton="0" quotePrefix="0" xfId="0">
      <alignment wrapText="1"/>
    </xf>
    <xf numFmtId="0" fontId="10" fillId="4" borderId="0" applyAlignment="1" pivotButton="0" quotePrefix="0" xfId="0">
      <alignment vertical="bottom" wrapText="1"/>
    </xf>
    <xf numFmtId="0" fontId="1" fillId="8" borderId="0" applyAlignment="1" pivotButton="0" quotePrefix="0" xfId="0">
      <alignment horizontal="left" wrapText="1"/>
    </xf>
    <xf numFmtId="0" fontId="6" fillId="2" borderId="0" applyAlignment="1" pivotButton="0" quotePrefix="0" xfId="0">
      <alignment vertical="bottom" wrapText="1"/>
    </xf>
    <xf numFmtId="0" fontId="6" fillId="6" borderId="0" applyAlignment="1" pivotButton="0" quotePrefix="0" xfId="0">
      <alignment vertical="bottom"/>
    </xf>
    <xf numFmtId="0" fontId="9" fillId="3" borderId="0" applyAlignment="1" pivotButton="0" quotePrefix="0" xfId="0">
      <alignment horizontal="center" vertical="bottom"/>
    </xf>
    <xf numFmtId="0" fontId="7" fillId="3" borderId="0" applyAlignment="1" pivotButton="0" quotePrefix="0" xfId="0">
      <alignment vertical="bottom" wrapText="1"/>
    </xf>
    <xf numFmtId="0" fontId="6" fillId="4" borderId="0" applyAlignment="1" pivotButton="0" quotePrefix="0" xfId="0">
      <alignment horizontal="left" vertical="bottom" wrapText="1"/>
    </xf>
    <xf numFmtId="0" fontId="7" fillId="3" borderId="0" applyAlignment="1" pivotButton="0" quotePrefix="0" xfId="0">
      <alignment horizontal="right" vertical="bottom" wrapText="1"/>
    </xf>
    <xf numFmtId="0" fontId="7" fillId="4" borderId="0" applyAlignment="1" pivotButton="0" quotePrefix="0" xfId="0">
      <alignment vertical="bottom" wrapText="1"/>
    </xf>
    <xf numFmtId="0" fontId="6" fillId="3" borderId="0" applyAlignment="1" pivotButton="0" quotePrefix="0" xfId="0">
      <alignment horizontal="left" vertical="bottom" wrapText="1"/>
    </xf>
    <xf numFmtId="0" fontId="1" fillId="8" borderId="0" applyAlignment="1" pivotButton="0" quotePrefix="0" xfId="0">
      <alignment/>
    </xf>
    <xf numFmtId="0" fontId="6" fillId="2" borderId="0" applyAlignment="1" pivotButton="0" quotePrefix="0" xfId="0">
      <alignment vertical="bottom" wrapText="1"/>
    </xf>
    <xf numFmtId="0" fontId="6" fillId="2" borderId="0" applyAlignment="1" pivotButton="0" quotePrefix="0" xfId="0">
      <alignment vertical="bottom"/>
    </xf>
    <xf numFmtId="0" fontId="7" fillId="3" borderId="0" applyAlignment="1" pivotButton="0" quotePrefix="0" xfId="0">
      <alignment vertical="bottom" wrapText="1"/>
    </xf>
    <xf numFmtId="0" fontId="6" fillId="2" borderId="0" applyAlignment="1" pivotButton="0" quotePrefix="0" xfId="0">
      <alignment vertical="center" wrapText="1"/>
    </xf>
    <xf numFmtId="0" fontId="6" fillId="2" borderId="0" applyAlignment="1" pivotButton="0" quotePrefix="0" xfId="0">
      <alignment horizontal="center" vertical="center" wrapText="1"/>
    </xf>
    <xf numFmtId="4" fontId="6" fillId="2" borderId="0" applyAlignment="1" pivotButton="0" quotePrefix="0" xfId="0">
      <alignment vertical="center" wrapText="1"/>
    </xf>
    <xf numFmtId="4" fontId="7" fillId="2" borderId="0" applyAlignment="1" pivotButton="0" quotePrefix="0" xfId="0">
      <alignment vertical="center" wrapText="1"/>
    </xf>
    <xf numFmtId="0" fontId="7" fillId="2" borderId="0" applyAlignment="1" pivotButton="0" quotePrefix="0" xfId="0">
      <alignment vertical="center" wrapText="1"/>
    </xf>
    <xf numFmtId="0" fontId="1" fillId="2" borderId="0" applyAlignment="1" pivotButton="0" quotePrefix="0" xfId="0">
      <alignment vertical="center" wrapText="1"/>
    </xf>
    <xf numFmtId="0" fontId="6" fillId="3" borderId="0" applyAlignment="1" pivotButton="0" quotePrefix="0" xfId="0">
      <alignment vertical="center" wrapText="1"/>
    </xf>
    <xf numFmtId="0" fontId="7" fillId="8" borderId="0" applyAlignment="1" pivotButton="0" quotePrefix="0" xfId="0">
      <alignment horizontal="center" vertical="center" wrapText="1"/>
    </xf>
    <xf numFmtId="4" fontId="7" fillId="3" borderId="0" applyAlignment="1" pivotButton="0" quotePrefix="0" xfId="0">
      <alignment vertical="center" wrapText="1"/>
    </xf>
    <xf numFmtId="4" fontId="11" fillId="7" borderId="0" applyAlignment="1" pivotButton="0" quotePrefix="0" xfId="0">
      <alignment horizontal="center" vertical="center" wrapText="1"/>
    </xf>
    <xf numFmtId="0" fontId="11" fillId="7" borderId="0" applyAlignment="1" pivotButton="0" quotePrefix="0" xfId="0">
      <alignment horizontal="center" vertical="center" wrapText="1"/>
    </xf>
    <xf numFmtId="0" fontId="2" fillId="3" borderId="0" applyAlignment="1" pivotButton="0" quotePrefix="0" xfId="0">
      <alignment vertical="center" wrapText="1"/>
    </xf>
    <xf numFmtId="0" fontId="6" fillId="4" borderId="0" applyAlignment="1" pivotButton="0" quotePrefix="0" xfId="0">
      <alignment vertical="center" wrapText="1"/>
    </xf>
    <xf numFmtId="4" fontId="7" fillId="4" borderId="0" applyAlignment="1" pivotButton="0" quotePrefix="0" xfId="0">
      <alignment vertical="center" wrapText="1"/>
    </xf>
    <xf numFmtId="0" fontId="2" fillId="4" borderId="0" applyAlignment="1" pivotButton="0" quotePrefix="0" xfId="0">
      <alignment vertical="center" wrapText="1"/>
    </xf>
    <xf numFmtId="0" fontId="7" fillId="4" borderId="0" applyAlignment="1" pivotButton="0" quotePrefix="0" xfId="0">
      <alignment vertical="center" wrapText="1"/>
    </xf>
    <xf numFmtId="0" fontId="7" fillId="3" borderId="0" applyAlignment="1" pivotButton="0" quotePrefix="0" xfId="0">
      <alignment horizontal="center" vertical="center" wrapText="1"/>
    </xf>
    <xf numFmtId="0" fontId="7" fillId="3" borderId="0" applyAlignment="1" pivotButton="0" quotePrefix="0" xfId="0">
      <alignment vertical="center" wrapText="1"/>
    </xf>
    <xf numFmtId="0" fontId="7" fillId="6" borderId="0" applyAlignment="1" pivotButton="0" quotePrefix="0" xfId="0">
      <alignment horizontal="center" vertical="center" wrapText="1"/>
    </xf>
    <xf numFmtId="0" fontId="7" fillId="6" borderId="0" applyAlignment="1" pivotButton="0" quotePrefix="0" xfId="0">
      <alignment vertical="center" wrapText="1"/>
    </xf>
    <xf numFmtId="0" fontId="6" fillId="4" borderId="0" applyAlignment="1" pivotButton="0" quotePrefix="0" xfId="0">
      <alignment vertical="center" wrapText="1"/>
    </xf>
    <xf numFmtId="0" fontId="1" fillId="3" borderId="0" applyAlignment="1" pivotButton="0" quotePrefix="0" xfId="0">
      <alignment/>
    </xf>
    <xf numFmtId="0" fontId="1" fillId="3" borderId="0" applyAlignment="1" pivotButton="0" quotePrefix="0" xfId="0">
      <alignment/>
    </xf>
    <xf numFmtId="0" fontId="2" fillId="4" borderId="0" applyAlignment="1" pivotButton="0" quotePrefix="0" xfId="0">
      <alignment/>
    </xf>
    <xf numFmtId="0" fontId="2" fillId="3" borderId="0" applyAlignment="1" pivotButton="0" quotePrefix="0" xfId="0">
      <alignment/>
    </xf>
    <xf numFmtId="0" fontId="2" fillId="3" borderId="0" applyAlignment="1" pivotButton="0" quotePrefix="0" xfId="0">
      <alignment/>
    </xf>
    <xf numFmtId="0" fontId="2" fillId="4" borderId="0" applyAlignment="1" pivotButton="0" quotePrefix="0" xfId="0">
      <alignment/>
    </xf>
    <xf numFmtId="0" fontId="6" fillId="2" borderId="0" applyAlignment="1" pivotButton="0" quotePrefix="0" xfId="0">
      <alignment horizontal="center" vertical="bottom" wrapText="1"/>
    </xf>
    <xf numFmtId="0" fontId="2" fillId="0" borderId="0" applyAlignment="1" pivotButton="0" quotePrefix="0" xfId="0">
      <alignment horizontal="left" wrapText="1"/>
    </xf>
    <xf numFmtId="0" fontId="7" fillId="3" borderId="0" applyAlignment="1" pivotButton="0" quotePrefix="0" xfId="0">
      <alignment vertical="bottom" wrapText="1"/>
    </xf>
    <xf numFmtId="0" fontId="7" fillId="5" borderId="0" applyAlignment="1" pivotButton="0" quotePrefix="0" xfId="0">
      <alignment vertical="bottom" wrapText="1"/>
    </xf>
    <xf numFmtId="0" fontId="7" fillId="4" borderId="0" applyAlignment="1" pivotButton="0" quotePrefix="0" xfId="0">
      <alignment vertical="bottom" wrapText="1"/>
    </xf>
    <xf numFmtId="0" fontId="7" fillId="6" borderId="0" applyAlignment="1" pivotButton="0" quotePrefix="0" xfId="0">
      <alignment vertical="bottom" wrapText="1"/>
    </xf>
    <xf numFmtId="0" fontId="12" fillId="9" borderId="0" applyAlignment="1" pivotButton="0" quotePrefix="0" xfId="0">
      <alignment horizontal="center" vertical="bottom"/>
    </xf>
    <xf numFmtId="0" fontId="7" fillId="4" borderId="0" applyAlignment="1" pivotButton="0" quotePrefix="0" xfId="0">
      <alignment horizontal="right" vertical="bottom"/>
    </xf>
    <xf numFmtId="0" fontId="7" fillId="3" borderId="0" applyAlignment="1" pivotButton="0" quotePrefix="0" xfId="0">
      <alignment horizontal="right" vertical="bottom"/>
    </xf>
    <xf numFmtId="0" fontId="0" fillId="0"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5"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 name="Calculations-style" pivot="0" count="3">
      <tableStyleElement type="headerRow" dxfId="1"/>
      <tableStyleElement type="firstRowStripe" dxfId="2"/>
      <tableStyleElement type="secondRowStripe" dxfId="3"/>
    </tableStyle>
    <tableStyle name="Calculations-style 2" pivot="0" count="3">
      <tableStyleElement type="headerRow" dxfId="1"/>
      <tableStyleElement type="firstRowStripe" dxfId="2"/>
      <tableStyleElement type="secondRowStripe" dxfId="3"/>
    </tableStyle>
    <tableStyle name="Calculations-style 3"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chartsheet" Target="/xl/chartsheets/sheet1.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worksheet" Target="/xl/worksheets/sheet11.xml" Id="rId12" /><Relationship Type="http://schemas.openxmlformats.org/officeDocument/2006/relationships/chartsheet" Target="/xl/chartsheets/sheet2.xml" Id="rId13" /><Relationship Type="http://schemas.openxmlformats.org/officeDocument/2006/relationships/worksheet" Target="/xl/worksheets/sheet12.xml" Id="rId14" /><Relationship Type="http://schemas.openxmlformats.org/officeDocument/2006/relationships/worksheet" Target="/xl/worksheets/sheet13.xml" Id="rId15" /><Relationship Type="http://schemas.openxmlformats.org/officeDocument/2006/relationships/worksheet" Target="/xl/worksheets/sheet14.xml" Id="rId16" /><Relationship Type="http://schemas.openxmlformats.org/officeDocument/2006/relationships/worksheet" Target="/xl/worksheets/sheet15.xml" Id="rId17" /><Relationship Type="http://schemas.openxmlformats.org/officeDocument/2006/relationships/worksheet" Target="/xl/worksheets/sheet16.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 - Mid Release</a:t>
            </a:r>
          </a:p>
        </rich>
      </tx>
      <overlay val="0"/>
    </title>
    <plotArea>
      <layout/>
      <barChart>
        <barDir val="col"/>
        <grouping val="clustered"/>
        <ser>
          <idx val="0"/>
          <order val="0"/>
          <tx>
            <strRef>
              <f>'Mid-Project Release plan'!$B$8</f>
            </strRef>
          </tx>
          <spPr>
            <a:solidFill>
              <a:srgbClr val="674EA7"/>
            </a:solidFill>
            <a:ln cmpd="sng">
              <a:noFill/>
              <a:prstDash val="solid"/>
            </a:ln>
          </spPr>
          <dLbls>
            <numFmt formatCode="General"/>
            <txPr>
              <a:bodyPr/>
              <a:lstStyle/>
              <a:p>
                <a:pPr lvl="0">
                  <a:defRPr b="1"/>
                </a:pPr>
                <a:r>
                  <a:t/>
                </a:r>
              </a:p>
            </txPr>
            <showLegendKey val="0"/>
            <showVal val="1"/>
            <showCatName val="0"/>
            <showSerName val="0"/>
            <showPercent val="0"/>
            <showBubbleSize val="0"/>
          </dLbls>
          <cat>
            <strRef>
              <f>'Mid-Project Release plan'!$A$9:$A$15</f>
            </strRef>
          </cat>
          <val>
            <numRef>
              <f>'Mid-Project Release plan'!$B$9:$B$15</f>
              <numCache/>
            </numRef>
          </val>
        </ser>
        <ser>
          <idx val="1"/>
          <order val="1"/>
          <tx>
            <strRef>
              <f>'Mid-Project Release plan'!$C$8</f>
            </strRef>
          </tx>
          <spPr>
            <a:solidFill>
              <a:srgbClr val="A4C2F4"/>
            </a:solidFill>
            <a:ln cmpd="sng">
              <a:noFill/>
              <a:prstDash val="solid"/>
            </a:ln>
          </spPr>
          <dLbls>
            <numFmt formatCode="General"/>
            <txPr>
              <a:bodyPr/>
              <a:lstStyle/>
              <a:p>
                <a:pPr lvl="0">
                  <a:defRPr b="1"/>
                </a:pPr>
                <a:r>
                  <a:t/>
                </a:r>
              </a:p>
            </txPr>
            <showLegendKey val="0"/>
            <showVal val="1"/>
            <showCatName val="0"/>
            <showSerName val="0"/>
            <showPercent val="0"/>
            <showBubbleSize val="0"/>
          </dLbls>
          <cat>
            <strRef>
              <f>'Mid-Project Release plan'!$A$9:$A$15</f>
            </strRef>
          </cat>
          <val>
            <numRef>
              <f>'Mid-Project Release plan'!$C$9:$C$15</f>
              <numCache/>
            </numRef>
          </val>
        </ser>
        <gapWidth val="150"/>
        <axId val="631690693"/>
        <axId val="1915510554"/>
      </barChart>
      <lineChart>
        <grouping val="standard"/>
        <varyColors val="0"/>
        <ser>
          <idx val="2"/>
          <order val="2"/>
          <tx>
            <strRef>
              <f>'Mid-Project Release plan'!$E$8</f>
            </strRef>
          </tx>
          <spPr>
            <a:ln cmpd="sng">
              <a:solidFill>
                <a:srgbClr val="F4B400"/>
              </a:solidFill>
              <a:prstDash val="solid"/>
            </a:ln>
          </spPr>
          <marker>
            <symbol val="none"/>
            <spPr>
              <a:ln>
                <a:prstDash val="solid"/>
              </a:ln>
            </spPr>
          </marker>
          <cat>
            <strRef>
              <f>'Mid-Project Release plan'!$A$9:$A$15</f>
            </strRef>
          </cat>
          <val>
            <numRef>
              <f>'Mid-Project Release plan'!$E$9:$E$15</f>
              <numCache/>
            </numRef>
          </val>
          <smooth val="0"/>
        </ser>
        <axId val="631690693"/>
        <axId val="1915510554"/>
      </lineChart>
      <catAx>
        <axId val="631690693"/>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noFill/>
            <a:prstDash val="solid"/>
          </a:ln>
        </spPr>
        <txPr>
          <a:bodyPr/>
          <a:lstStyle/>
          <a:p>
            <a:pPr lvl="0">
              <a:defRPr b="0">
                <a:solidFill>
                  <a:srgbClr val="000000"/>
                </a:solidFill>
                <a:latin typeface="Roboto"/>
              </a:defRPr>
            </a:pPr>
            <a:r>
              <a:t/>
            </a:r>
          </a:p>
        </txPr>
        <crossAx val="1915510554"/>
        <lblOffset val="100"/>
      </catAx>
      <valAx>
        <axId val="191551055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Roboto"/>
              </a:defRPr>
            </a:pPr>
            <a:r>
              <a:t/>
            </a:r>
          </a:p>
        </txPr>
        <crossAx val="631690693"/>
      </valAx>
    </plotArea>
    <legend>
      <legendPos val="r"/>
      <overlay val="0"/>
      <txPr>
        <a:bodyPr/>
        <a:lstStyle/>
        <a:p>
          <a:pPr lvl="0">
            <a:defRPr b="0">
              <a:solidFill>
                <a:srgbClr val="000000"/>
              </a:solidFill>
              <a:latin typeface="Roboto"/>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 - Final Release</a:t>
            </a:r>
          </a:p>
        </rich>
      </tx>
      <overlay val="0"/>
    </title>
    <plotArea>
      <layout/>
      <barChart>
        <barDir val="col"/>
        <grouping val="clustered"/>
        <ser>
          <idx val="0"/>
          <order val="0"/>
          <tx>
            <strRef>
              <f>'Mid-Project Release plan'!$B$8</f>
            </strRef>
          </tx>
          <spPr>
            <a:solidFill>
              <a:srgbClr val="674EA7"/>
            </a:solidFill>
            <a:ln cmpd="sng">
              <a:noFill/>
              <a:prstDash val="solid"/>
            </a:ln>
          </spPr>
          <dLbls>
            <numFmt formatCode="General"/>
            <txPr>
              <a:bodyPr/>
              <a:lstStyle/>
              <a:p>
                <a:pPr lvl="0">
                  <a:defRPr b="1"/>
                </a:pPr>
                <a:r>
                  <a:t/>
                </a:r>
              </a:p>
            </txPr>
            <showLegendKey val="0"/>
            <showVal val="1"/>
            <showCatName val="0"/>
            <showSerName val="0"/>
            <showPercent val="0"/>
            <showBubbleSize val="0"/>
          </dLbls>
          <cat>
            <strRef>
              <f>'Final Project Release plan'!$A$9:$A$15</f>
            </strRef>
          </cat>
          <val>
            <numRef>
              <f>'Mid-Project Release plan'!$B$9:$B$15</f>
              <numCache/>
            </numRef>
          </val>
        </ser>
        <ser>
          <idx val="1"/>
          <order val="1"/>
          <tx>
            <strRef>
              <f>'Mid-Project Release plan'!$C$8</f>
            </strRef>
          </tx>
          <spPr>
            <a:solidFill>
              <a:srgbClr val="A4C2F4"/>
            </a:solidFill>
            <a:ln cmpd="sng">
              <a:noFill/>
              <a:prstDash val="solid"/>
            </a:ln>
          </spPr>
          <dLbls>
            <numFmt formatCode="General"/>
            <txPr>
              <a:bodyPr/>
              <a:lstStyle/>
              <a:p>
                <a:pPr lvl="0">
                  <a:defRPr b="1"/>
                </a:pPr>
                <a:r>
                  <a:t/>
                </a:r>
              </a:p>
            </txPr>
            <showLegendKey val="0"/>
            <showVal val="1"/>
            <showCatName val="0"/>
            <showSerName val="0"/>
            <showPercent val="0"/>
            <showBubbleSize val="0"/>
          </dLbls>
          <cat>
            <strRef>
              <f>'Final Project Release plan'!$A$9:$A$15</f>
            </strRef>
          </cat>
          <val>
            <numRef>
              <f>'Mid-Project Release plan'!$C$9:$C$15</f>
              <numCache/>
            </numRef>
          </val>
        </ser>
        <gapWidth val="150"/>
        <axId val="294158675"/>
        <axId val="412899029"/>
      </barChart>
      <lineChart>
        <grouping val="standard"/>
        <varyColors val="0"/>
        <ser>
          <idx val="2"/>
          <order val="2"/>
          <tx>
            <strRef>
              <f>'Final Project Release plan'!$E$8</f>
            </strRef>
          </tx>
          <spPr>
            <a:ln cmpd="sng">
              <a:solidFill>
                <a:srgbClr val="F4B400"/>
              </a:solidFill>
              <a:prstDash val="solid"/>
            </a:ln>
          </spPr>
          <marker>
            <symbol val="none"/>
            <spPr>
              <a:ln>
                <a:prstDash val="solid"/>
              </a:ln>
            </spPr>
          </marker>
          <cat>
            <strRef>
              <f>'Final Project Release plan'!$A$9:$A$15</f>
            </strRef>
          </cat>
          <val>
            <numRef>
              <f>'Final Project Release plan'!$E$9:$E$15</f>
              <numCache/>
            </numRef>
          </val>
          <smooth val="0"/>
        </ser>
        <axId val="294158675"/>
        <axId val="412899029"/>
      </lineChart>
      <catAx>
        <axId val="294158675"/>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noFill/>
            <a:prstDash val="solid"/>
          </a:ln>
        </spPr>
        <txPr>
          <a:bodyPr/>
          <a:lstStyle/>
          <a:p>
            <a:pPr lvl="0">
              <a:defRPr b="0">
                <a:solidFill>
                  <a:srgbClr val="000000"/>
                </a:solidFill>
                <a:latin typeface="Roboto"/>
              </a:defRPr>
            </a:pPr>
            <a:r>
              <a:t/>
            </a:r>
          </a:p>
        </txPr>
        <crossAx val="412899029"/>
        <lblOffset val="100"/>
      </catAx>
      <valAx>
        <axId val="412899029"/>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Roboto"/>
              </a:defRPr>
            </a:pPr>
            <a:r>
              <a:t/>
            </a:r>
          </a:p>
        </txPr>
        <crossAx val="294158675"/>
      </valAx>
    </plotArea>
    <legend>
      <legendPos val="r"/>
      <overlay val="0"/>
      <txPr>
        <a:bodyPr/>
        <a:lstStyle/>
        <a:p>
          <a:pPr lvl="0">
            <a:defRPr b="0">
              <a:solidFill>
                <a:srgbClr val="000000"/>
              </a:solidFill>
              <a:latin typeface="Roboto"/>
            </a:defRPr>
          </a:pPr>
          <a:r>
            <a:t/>
          </a:r>
        </a:p>
      </txPr>
    </legend>
    <plotVisOnly val="1"/>
    <dispBlanksAs val="gap"/>
  </chart>
</chartSpace>
</file>

<file path=xl/chartsheets/_rels/sheet1.xml.rels><Relationships xmlns="http://schemas.openxmlformats.org/package/2006/relationships"><Relationship Type="http://schemas.openxmlformats.org/officeDocument/2006/relationships/drawing" Target="/xl/drawings/drawing2.xml" Id="rId1" /></Relationships>
</file>

<file path=xl/chartsheets/_rels/sheet2.xml.rels><Relationships xmlns="http://schemas.openxmlformats.org/package/2006/relationships"><Relationship Type="http://schemas.openxmlformats.org/officeDocument/2006/relationships/drawing" Target="/xl/drawings/drawing3.xml" Id="rId1" /></Relationships>
</file>

<file path=xl/chartsheets/sheet1.xml><?xml version="1.0" encoding="utf-8"?>
<chartsheet xmlns:r="http://schemas.openxmlformats.org/officeDocument/2006/relationships" xmlns="http://schemas.openxmlformats.org/spreadsheetml/2006/main">
  <sheetViews>
    <sheetView workbookViewId="0" zoomToFit="1"/>
  </sheetViews>
  <drawing r:id="rId1"/>
</chartsheet>
</file>

<file path=xl/chartsheets/sheet2.xml><?xml version="1.0" encoding="utf-8"?>
<chartsheet xmlns:r="http://schemas.openxmlformats.org/officeDocument/2006/relationships" xmlns="http://schemas.openxmlformats.org/spreadsheetml/2006/main">
  <sheetViews>
    <sheetView workbookViewId="0" zoomToFit="1"/>
  </sheetViews>
  <drawing r:id="rId1"/>
</chartsheet>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s>
</file>

<file path=xl/drawings/_rels/drawing3.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r="http://schemas.openxmlformats.org/officeDocument/2006/relationships" xmlns="http://schemas.openxmlformats.org/drawingml/2006/spreadsheetDrawing">
  <absoluteAnchor>
    <pos x="0" y="0"/>
    <ext cx="8610600" cy="6276975"/>
    <pic>
      <nvPicPr>
        <cNvPr id="1629436998" name="Chart2" title="Diagramm"/>
        <cNvPicPr preferRelativeResize="0"/>
      </nvPicPr>
      <blipFill>
        <a:blip cstate="print" r:embed="rId1"/>
        <a:stretch>
          <a:fillRect/>
        </a:stretch>
      </blipFill>
      <spPr>
        <a:prstGeom prst="rect">
          <avLst/>
        </a:prstGeom>
        <a:noFill/>
        <a:ln>
          <a:prstDash val="solid"/>
        </a:ln>
      </spPr>
    </pic>
    <clientData fLocksWithSheet="0"/>
  </absolute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absoluteAnchor>
    <pos x="0" y="0"/>
    <ext cx="0" cy="0"/>
    <graphicFrame>
      <nvGraphicFramePr>
        <cNvPr id="1" name="Chart 1"/>
        <cNvGraphicFramePr/>
      </nvGraphicFramePr>
      <xfrm/>
      <a:graphic>
        <a:graphicData uri="http://schemas.openxmlformats.org/drawingml/2006/chart">
          <c:chart r:id="rId1"/>
        </a:graphicData>
      </a:graphic>
    </graphicFrame>
    <clientData/>
  </absolute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absoluteAnchor>
    <pos x="0" y="0"/>
    <ext cx="0" cy="0"/>
    <graphicFrame>
      <nvGraphicFramePr>
        <cNvPr id="1" name="Chart 1"/>
        <cNvGraphicFramePr/>
      </nvGraphicFramePr>
      <xfrm/>
      <a:graphic>
        <a:graphicData uri="http://schemas.openxmlformats.org/drawingml/2006/chart">
          <c:chart r:id="rId1"/>
        </a:graphicData>
      </a:graphic>
    </graphicFrame>
    <clientData/>
  </absoluteAnchor>
</wsDr>
</file>

<file path=xl/tables/table1.xml><?xml version="1.0" encoding="utf-8"?>
<table xmlns="http://schemas.openxmlformats.org/spreadsheetml/2006/main" id="1" name="Table_1" displayName="Table_1" ref="A1:B20" headerRowCount="1">
  <tableColumns count="2">
    <tableColumn id="1" name="Project Name"/>
    <tableColumn id="2" name="TaskOrbit Conversational Agent"/>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20"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 Create a flawless and valuable project that the industry partner will be able to use. Create clean and reusable code and structures"/>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3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G66"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8.xml><?xml version="1.0" encoding="utf-8"?>
<table xmlns="http://schemas.openxmlformats.org/spreadsheetml/2006/main" id="8" name="Table_8" displayName="Table_8" ref="A1:C20" headerRowCount="1">
  <tableColumns count="3">
    <tableColumn id="1" name="Sprint #"/>
    <tableColumn id="2" name="Story Points Realized"/>
    <tableColumn id="3" name="Story Points Estimate"/>
  </tableColumns>
  <tableStyleInfo name="Velocity Tracking-style" showFirstColumn="1" showLastColumn="1" showRowStripes="1" showColumnStripes="0"/>
</table>
</file>

<file path=xl/tables/table9.xml><?xml version="1.0" encoding="utf-8"?>
<table xmlns="http://schemas.openxmlformats.org/spreadsheetml/2006/main" id="9" name="Table_9" displayName="Table_9" ref="A1:G107"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0.xml><?xml version="1.0" encoding="utf-8"?>
<table xmlns="http://schemas.openxmlformats.org/spreadsheetml/2006/main" id="10" name="Table_10" displayName="Table_10"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1.xml><?xml version="1.0" encoding="utf-8"?>
<table xmlns="http://schemas.openxmlformats.org/spreadsheetml/2006/main" id="11" name="Table_11" displayName="Table_11" ref="A1:B20" headerRowCount="1">
  <tableColumns count="2">
    <tableColumn id="1" name="Type"/>
    <tableColumn id="2" name="Link / reference"/>
  </tableColumns>
  <tableStyleInfo name="Documentation-style" showFirstColumn="1" showLastColumn="1" showRowStripes="1" showColumnStripes="0"/>
</table>
</file>

<file path=xl/tables/table12.xml><?xml version="1.0" encoding="utf-8"?>
<table xmlns="http://schemas.openxmlformats.org/spreadsheetml/2006/main" id="12" name="Table_12" displayName="Table_12" ref="A1:F44" headerRowCount="1">
  <tableColumns count="6">
    <tableColumn id="1" name="#"/>
    <tableColumn id="2" name="Context"/>
    <tableColumn id="3" name="Name"/>
    <tableColumn id="4" name="Version"/>
    <tableColumn id="5" name="License"/>
    <tableColumn id="6" name="Comment"/>
  </tableColumns>
  <tableStyleInfo name="Bill of Materials-style" showFirstColumn="1" showLastColumn="1" showRowStripes="1" showColumnStripes="0"/>
</table>
</file>

<file path=xl/tables/table13.xml><?xml version="1.0" encoding="utf-8"?>
<table xmlns="http://schemas.openxmlformats.org/spreadsheetml/2006/main" id="13" name="Table_13" displayName="Table_13" ref="A1:C16" headerRowCount="1">
  <tableColumns count="3">
    <tableColumn id="1" name="Sprint #"/>
    <tableColumn id="2" name="Story Points Realized"/>
    <tableColumn id="3" name="Average Realized (23 SP/s)"/>
  </tableColumns>
  <tableStyleInfo name="Calculations-style" showFirstColumn="1" showLastColumn="1" showRowStripes="1" showColumnStripes="0"/>
</table>
</file>

<file path=xl/tables/table14.xml><?xml version="1.0" encoding="utf-8"?>
<table xmlns="http://schemas.openxmlformats.org/spreadsheetml/2006/main" id="14" name="Table_14" displayName="Table_14" ref="F1:M15" headerRowCount="1">
  <tableColumns count="8">
    <tableColumn id="1" name="Sprint"/>
    <tableColumn id="2" name="Goal"/>
    <tableColumn id="3" name="Feature Name"/>
    <tableColumn id="4" name="Est. size"/>
    <tableColumn id="5" name="Est. remaining"/>
    <tableColumn id="6" name="Real size"/>
    <tableColumn id="7" name="Real remaining"/>
    <tableColumn id="8" name="Development Speed"/>
  </tableColumns>
  <tableStyleInfo name="Calculations-style 2" showFirstColumn="1" showLastColumn="1" showRowStripes="1" showColumnStripes="0"/>
</table>
</file>

<file path=xl/tables/table15.xml><?xml version="1.0" encoding="utf-8"?>
<table xmlns="http://schemas.openxmlformats.org/spreadsheetml/2006/main" id="15" name="Table_15" displayName="Table_15" ref="F18:M33" headerRowCount="1">
  <tableColumns count="8">
    <tableColumn id="1" name="Sprint"/>
    <tableColumn id="2" name="Goal"/>
    <tableColumn id="3" name="Feature Name"/>
    <tableColumn id="4" name="Est. size"/>
    <tableColumn id="5" name="Est. remaining"/>
    <tableColumn id="6" name="Real size"/>
    <tableColumn id="7" name="Real remaining"/>
    <tableColumn id="8" name="Development Speed"/>
  </tableColumns>
  <tableStyleInfo name="Calculations-style 3"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5288966243?pwd=DnF4jxSAfJugyMmynzjE1BaaFprRbi.1" TargetMode="External" Id="rId1" /><Relationship Type="http://schemas.openxmlformats.org/officeDocument/2006/relationships/hyperlink" Target="https://github.com/amosproj/amos2026ss04-taskorbit-conversational-agent" TargetMode="External" Id="rId2" /><Relationship Type="http://schemas.openxmlformats.org/officeDocument/2006/relationships/hyperlink" Target="https://github.com/orgs/amosproj/projects/100/views/2" TargetMode="External" Id="rId3" /><Relationship Type="http://schemas.openxmlformats.org/officeDocument/2006/relationships/hyperlink" Target="https://github.com/orgs/amosproj/projects/104/views/1" TargetMode="External" Id="rId4" /><Relationship Type="http://schemas.openxmlformats.org/officeDocument/2006/relationships/hyperlink" Target="https://github.com/amosproj/amos2026ss04-taskorbit-conversational-agent/blob/feature/team-logo-design/Deliverables/sprint-01/team-logo.png" TargetMode="External" Id="rId5" /><Relationship Type="http://schemas.openxmlformats.org/officeDocument/2006/relationships/hyperlink" Target="https://github.com/amosproj/amos2026ss04-taskorbit-conversational-agent/blob/feature/team-logo-design/Deliverables/sprint-01/team-logo.png" TargetMode="External" Id="rId6" /><Relationship Type="http://schemas.openxmlformats.org/officeDocument/2006/relationships/hyperlink" Target="https://discord.gg/usXpc5ab" TargetMode="External" Id="rId7" /><Relationship Type="http://schemas.openxmlformats.org/officeDocument/2006/relationships/table" Target="/xl/tables/table1.xml" Id="rId8"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hyperlink" Target="https://github.com/amosproj/amos2026ss04-taskorbit-conversational-agent/blob/feature/team-logo-design/Deliverables/sprint-01/team-logo.png" TargetMode="Externa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 Type="http://schemas.openxmlformats.org/officeDocument/2006/relationships/table" Target="/xl/tables/table14.xml" Id="rId2" /><Relationship Type="http://schemas.openxmlformats.org/officeDocument/2006/relationships/table" Target="/xl/tables/table15.xml" Id="rId3"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39" min="1" max="1"/>
    <col width="100.13" customWidth="1" style="139" min="2" max="2"/>
  </cols>
  <sheetData>
    <row r="1">
      <c r="A1" s="40" t="inlineStr">
        <is>
          <t>Project Name</t>
        </is>
      </c>
      <c r="B1" s="35" t="inlineStr">
        <is>
          <t>TaskOrbit Conversational Agent</t>
        </is>
      </c>
    </row>
    <row r="2">
      <c r="A2" s="40" t="n"/>
      <c r="B2" s="35" t="n"/>
    </row>
    <row r="3">
      <c r="A3" s="40" t="inlineStr">
        <is>
          <t>Online team meeting</t>
        </is>
      </c>
      <c r="B3" s="5" t="inlineStr">
        <is>
          <t>https://fau.zoom-x.de/j/65288966243?pwd=DnF4jxSAfJugyMmynzjE1BaaFprRbi.1</t>
        </is>
      </c>
    </row>
    <row r="4">
      <c r="A4" s="40" t="n"/>
      <c r="B4" s="35" t="n"/>
    </row>
    <row r="5">
      <c r="A5" s="40" t="inlineStr">
        <is>
          <t>Production system (if any)</t>
        </is>
      </c>
      <c r="B5" s="35" t="inlineStr">
        <is>
          <t>GCP</t>
        </is>
      </c>
    </row>
    <row r="6">
      <c r="A6" s="40" t="inlineStr">
        <is>
          <t>Test system (if any)</t>
        </is>
      </c>
      <c r="B6" s="35" t="inlineStr">
        <is>
          <t>None</t>
        </is>
      </c>
    </row>
    <row r="7">
      <c r="A7" s="40" t="n"/>
      <c r="B7" s="35" t="n"/>
    </row>
    <row r="8">
      <c r="A8" s="40" t="inlineStr">
        <is>
          <t>GitHub repository</t>
        </is>
      </c>
      <c r="B8" s="5" t="inlineStr">
        <is>
          <t>https://github.com/amosproj/amos2026ss04-taskorbit-conversational-agent</t>
        </is>
      </c>
    </row>
    <row r="9">
      <c r="A9" s="40" t="inlineStr">
        <is>
          <t>GitHub feature board</t>
        </is>
      </c>
      <c r="B9" s="6" t="inlineStr">
        <is>
          <t>https://github.com/orgs/amosproj/projects/100/views/2</t>
        </is>
      </c>
    </row>
    <row r="10">
      <c r="A10" s="40" t="inlineStr">
        <is>
          <t>GitHub imp-squared backlog</t>
        </is>
      </c>
      <c r="B10" s="6" t="inlineStr">
        <is>
          <t>https://github.com/orgs/amosproj/projects/104/views/1</t>
        </is>
      </c>
    </row>
    <row r="11">
      <c r="A11" s="40" t="n"/>
      <c r="B11" s="35" t="n"/>
    </row>
    <row r="12">
      <c r="A12" s="40" t="inlineStr">
        <is>
          <t>Position of T-shirt logo</t>
        </is>
      </c>
      <c r="B12" s="35" t="inlineStr">
        <is>
          <t>Upper Torso Center Large</t>
        </is>
      </c>
    </row>
    <row r="13">
      <c r="A13" s="40" t="inlineStr">
        <is>
          <t>Link to logo for black T-shirt</t>
        </is>
      </c>
      <c r="B13" s="6" t="inlineStr">
        <is>
          <t>https://github.com/amosproj/amos2026ss04-taskorbit-conversational-agent/blob/feature/team-logo-design/Deliverables/sprint-01/team-logo.png</t>
        </is>
      </c>
    </row>
    <row r="14">
      <c r="A14" s="40" t="inlineStr">
        <is>
          <t>Link to logo for white T-shirt</t>
        </is>
      </c>
      <c r="B14" s="8" t="inlineStr">
        <is>
          <t>https://github.com/amosproj/amos2026ss04-taskorbit-conversational-agent/blob/feature/team-logo-design/Deliverables/sprint-01/team-logo.png</t>
        </is>
      </c>
    </row>
    <row r="15">
      <c r="A15" s="40" t="n"/>
      <c r="B15" s="35" t="n"/>
    </row>
    <row r="16">
      <c r="A16" s="40" t="inlineStr">
        <is>
          <t>Additional materials</t>
        </is>
      </c>
      <c r="B16" s="6" t="inlineStr">
        <is>
          <t>https://discord.gg/usXpc5ab</t>
        </is>
      </c>
    </row>
    <row r="17">
      <c r="A17" s="40" t="n"/>
      <c r="B17" s="35" t="n"/>
    </row>
    <row r="18">
      <c r="A18" s="40" t="inlineStr">
        <is>
          <t>Team maling list</t>
        </is>
      </c>
      <c r="B18" s="35" t="inlineStr">
        <is>
          <t>oss-amos-proj4@lists.fau.de</t>
        </is>
      </c>
    </row>
    <row r="19">
      <c r="A19" s="40" t="n"/>
      <c r="B19" s="35" t="n"/>
    </row>
    <row r="20">
      <c r="A20" s="40" t="n"/>
      <c r="B20" s="35" t="n"/>
    </row>
  </sheetData>
  <dataValidations count="1">
    <dataValidation sqref="B12" showDropDown="0" showInputMessage="0" showErrorMessage="1" allowBlank="1" type="list">
      <formula1>"Upper Torso Center Large,Upper Torso Right Small"</formula1>
    </dataValidation>
  </dataValidations>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3" r:id="rId5"/>
    <hyperlink xmlns:r="http://schemas.openxmlformats.org/officeDocument/2006/relationships" ref="B14" r:id="rId6"/>
    <hyperlink xmlns:r="http://schemas.openxmlformats.org/officeDocument/2006/relationships" ref="B16" r:id="rId7"/>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8"/>
  </tableParts>
</worksheet>
</file>

<file path=xl/worksheets/sheet2.xml><?xml version="1.0" encoding="utf-8"?>
<worksheet xmlns="http://schemas.openxmlformats.org/spreadsheetml/2006/main">
  <sheetPr>
    <outlinePr summaryBelow="0" summaryRight="0"/>
    <pageSetUpPr fitToPage="1"/>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39" min="1" max="4"/>
  </cols>
  <sheetData>
    <row r="1">
      <c r="A1" s="13" t="inlineStr">
        <is>
          <t>Last Name</t>
        </is>
      </c>
      <c r="B1" s="13" t="inlineStr">
        <is>
          <t>First Name</t>
        </is>
      </c>
      <c r="C1" s="13" t="inlineStr">
        <is>
          <t>GitHub User Name</t>
        </is>
      </c>
      <c r="D1" s="13" t="inlineStr">
        <is>
          <t>Email Address</t>
        </is>
      </c>
    </row>
    <row r="2">
      <c r="A2" s="59" t="inlineStr">
        <is>
          <t>Fatima</t>
        </is>
      </c>
      <c r="B2" s="59" t="inlineStr">
        <is>
          <t>Qiblatain</t>
        </is>
      </c>
      <c r="C2" s="59" t="inlineStr">
        <is>
          <t>qiblatainf</t>
        </is>
      </c>
      <c r="D2" s="59" t="inlineStr">
        <is>
          <t>qiblatain.fatima@fau.de</t>
        </is>
      </c>
    </row>
    <row r="3">
      <c r="A3" s="59" t="inlineStr">
        <is>
          <t>Huy</t>
        </is>
      </c>
      <c r="B3" s="59" t="inlineStr">
        <is>
          <t>Christoph</t>
        </is>
      </c>
      <c r="C3" s="59" t="inlineStr">
        <is>
          <t>Perimora</t>
        </is>
      </c>
      <c r="D3" s="59" t="inlineStr">
        <is>
          <t>christoph.huy@campus.tu-berlin.de</t>
        </is>
      </c>
    </row>
    <row r="4">
      <c r="A4" s="59" t="inlineStr">
        <is>
          <t>Raza</t>
        </is>
      </c>
      <c r="B4" s="59" t="inlineStr">
        <is>
          <t>Asad</t>
        </is>
      </c>
      <c r="C4" s="59" t="inlineStr">
        <is>
          <t>asadraza17</t>
        </is>
      </c>
      <c r="D4" s="59" t="inlineStr">
        <is>
          <t>asad.raza@fau.de</t>
        </is>
      </c>
    </row>
    <row r="5">
      <c r="A5" s="59" t="inlineStr">
        <is>
          <t>Jokiel</t>
        </is>
      </c>
      <c r="B5" s="59" t="inlineStr">
        <is>
          <t>Rene</t>
        </is>
      </c>
      <c r="C5" s="59" t="inlineStr">
        <is>
          <t>BelmontR</t>
        </is>
      </c>
      <c r="D5" s="59" t="inlineStr">
        <is>
          <t>rene.jokiel@fau.de</t>
        </is>
      </c>
    </row>
    <row r="6">
      <c r="A6" s="59" t="inlineStr">
        <is>
          <t>Mosler</t>
        </is>
      </c>
      <c r="B6" s="59" t="inlineStr">
        <is>
          <t>Carl</t>
        </is>
      </c>
      <c r="C6" s="59" t="inlineStr">
        <is>
          <t>Caerum5</t>
        </is>
      </c>
      <c r="D6" s="59" t="inlineStr">
        <is>
          <t>carl.mosler@tu-berlin.de</t>
        </is>
      </c>
    </row>
    <row r="7">
      <c r="A7" s="59" t="inlineStr">
        <is>
          <t>Vineesh</t>
        </is>
      </c>
      <c r="B7" s="59" t="inlineStr">
        <is>
          <t>Koppay</t>
        </is>
      </c>
      <c r="C7" s="59" t="inlineStr">
        <is>
          <t>K-Vineesh</t>
        </is>
      </c>
      <c r="D7" s="59" t="inlineStr">
        <is>
          <t>vineesh.koppay@fau.de</t>
        </is>
      </c>
    </row>
    <row r="8">
      <c r="A8" s="59" t="inlineStr">
        <is>
          <t>Moeez</t>
        </is>
      </c>
      <c r="B8" s="59" t="inlineStr">
        <is>
          <t>Abdul</t>
        </is>
      </c>
      <c r="C8" s="59" t="inlineStr">
        <is>
          <t>abdulmoeez1225</t>
        </is>
      </c>
      <c r="D8" s="59" t="inlineStr">
        <is>
          <t>abdul.moeez@fau.de</t>
        </is>
      </c>
    </row>
    <row r="9">
      <c r="A9" s="59" t="inlineStr">
        <is>
          <t>Thakur</t>
        </is>
      </c>
      <c r="B9" s="59" t="inlineStr">
        <is>
          <t>Shikhar</t>
        </is>
      </c>
      <c r="C9" s="59" t="inlineStr">
        <is>
          <t>shikharthakur2404`</t>
        </is>
      </c>
      <c r="D9" s="59" t="inlineStr">
        <is>
          <t>shikhar.thakur@fau.de</t>
        </is>
      </c>
    </row>
    <row r="10">
      <c r="A10" s="59" t="inlineStr">
        <is>
          <t>Dhruvin</t>
        </is>
      </c>
      <c r="B10" s="59" t="inlineStr">
        <is>
          <t>Vekariya</t>
        </is>
      </c>
      <c r="C10" s="59" t="inlineStr">
        <is>
          <t>djv03</t>
        </is>
      </c>
      <c r="D10" s="59" t="inlineStr">
        <is>
          <t>dhruvin.vekariya@fau.de</t>
        </is>
      </c>
    </row>
    <row r="11">
      <c r="A11" s="59" t="inlineStr">
        <is>
          <t>Shameti</t>
        </is>
      </c>
      <c r="B11" s="59" t="inlineStr">
        <is>
          <t>Endri</t>
        </is>
      </c>
      <c r="C11" s="59" t="inlineStr">
        <is>
          <t>1Endri</t>
        </is>
      </c>
      <c r="D11" s="59" t="inlineStr">
        <is>
          <t>endri.shameti@fau.de</t>
        </is>
      </c>
    </row>
    <row r="12">
      <c r="A12" s="59" t="n"/>
      <c r="B12" s="59" t="n"/>
      <c r="C12" s="59" t="n"/>
      <c r="D12" s="59" t="n"/>
    </row>
    <row r="13">
      <c r="A13" s="13" t="inlineStr">
        <is>
          <t> </t>
        </is>
      </c>
      <c r="B13" s="13" t="n"/>
      <c r="C13" s="13" t="n"/>
      <c r="D13" s="13" t="n"/>
    </row>
    <row r="14">
      <c r="A14" s="59" t="n"/>
      <c r="B14" s="59" t="n"/>
      <c r="C14" s="59" t="n"/>
      <c r="D14" s="59" t="n"/>
    </row>
    <row r="15">
      <c r="A15" s="59" t="n"/>
      <c r="B15" s="59" t="n"/>
      <c r="C15" s="59" t="n"/>
      <c r="D15" s="59" t="n"/>
    </row>
    <row r="16">
      <c r="A16" s="59" t="n"/>
      <c r="B16" s="59" t="n"/>
      <c r="C16" s="59" t="n"/>
      <c r="D16" s="59" t="n"/>
    </row>
    <row r="17">
      <c r="A17" s="59" t="n"/>
      <c r="B17" s="59" t="n"/>
      <c r="C17" s="59" t="n"/>
      <c r="D17" s="59" t="n"/>
    </row>
    <row r="18">
      <c r="A18" s="59" t="n"/>
      <c r="B18" s="59" t="n"/>
      <c r="C18" s="59" t="n"/>
      <c r="D18" s="59" t="n"/>
    </row>
    <row r="19">
      <c r="A19" s="59" t="n"/>
      <c r="B19" s="59" t="n"/>
      <c r="C19" s="59" t="n"/>
      <c r="D19" s="59" t="n"/>
    </row>
    <row r="20">
      <c r="A20" s="59" t="n"/>
      <c r="B20" s="59" t="n"/>
      <c r="C20" s="59" t="n"/>
      <c r="D20" s="59" t="n"/>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6.38" customWidth="1" style="139" min="1" max="1"/>
    <col width="12.63" customWidth="1" style="139" min="2" max="2"/>
    <col width="18.88" customWidth="1" style="139" min="3" max="7"/>
    <col width="50.13" customWidth="1" style="139"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46127</v>
      </c>
      <c r="C3" s="59" t="n"/>
      <c r="D3" s="59" t="inlineStr">
        <is>
          <t>Carl</t>
        </is>
      </c>
      <c r="E3" s="59" t="inlineStr">
        <is>
          <t>Everyone else</t>
        </is>
      </c>
      <c r="F3" s="59" t="inlineStr">
        <is>
          <t>N/A</t>
        </is>
      </c>
      <c r="G3" s="59" t="inlineStr">
        <is>
          <t>Rene</t>
        </is>
      </c>
      <c r="H3" s="25" t="n"/>
    </row>
    <row r="4">
      <c r="A4" s="18" t="n">
        <v>2</v>
      </c>
      <c r="B4" s="21">
        <f>B3+7</f>
        <v/>
      </c>
      <c r="C4" s="59" t="inlineStr">
        <is>
          <t>Carl</t>
        </is>
      </c>
      <c r="D4" s="59" t="inlineStr">
        <is>
          <t>Christoph</t>
        </is>
      </c>
      <c r="E4" s="59" t="n"/>
      <c r="F4" s="59" t="inlineStr">
        <is>
          <t>Endri Shameti</t>
        </is>
      </c>
      <c r="G4" s="59" t="inlineStr">
        <is>
          <t>Rene</t>
        </is>
      </c>
      <c r="H4" s="25" t="n"/>
    </row>
    <row r="5">
      <c r="A5" s="18" t="n">
        <v>3</v>
      </c>
      <c r="B5" s="21">
        <f>B4+7</f>
        <v/>
      </c>
      <c r="C5" s="59" t="inlineStr">
        <is>
          <t>Christoph</t>
        </is>
      </c>
      <c r="D5" s="59" t="inlineStr">
        <is>
          <t>Carl</t>
        </is>
      </c>
      <c r="E5" s="59" t="n"/>
      <c r="F5" s="59" t="inlineStr">
        <is>
          <t>Dhruvin</t>
        </is>
      </c>
      <c r="G5" s="59" t="inlineStr">
        <is>
          <t>Rene</t>
        </is>
      </c>
      <c r="H5" s="25" t="n"/>
    </row>
    <row r="6">
      <c r="A6" s="18" t="n">
        <v>4</v>
      </c>
      <c r="B6" s="21">
        <f>B5+7</f>
        <v/>
      </c>
      <c r="C6" s="59" t="inlineStr">
        <is>
          <t>Carl</t>
        </is>
      </c>
      <c r="D6" s="59" t="inlineStr">
        <is>
          <t>Christoph</t>
        </is>
      </c>
      <c r="E6" s="59" t="n"/>
      <c r="F6" s="59" t="inlineStr">
        <is>
          <t>Qiblatain</t>
        </is>
      </c>
      <c r="G6" s="59" t="inlineStr">
        <is>
          <t>Rene</t>
        </is>
      </c>
      <c r="H6" s="25" t="n"/>
    </row>
    <row r="7">
      <c r="A7" s="18" t="n">
        <v>5</v>
      </c>
      <c r="B7" s="21">
        <f>B6+7</f>
        <v/>
      </c>
      <c r="C7" s="59" t="inlineStr">
        <is>
          <t>Christoph</t>
        </is>
      </c>
      <c r="D7" s="59" t="inlineStr">
        <is>
          <t>Carl</t>
        </is>
      </c>
      <c r="E7" s="59" t="n"/>
      <c r="F7" s="59" t="inlineStr">
        <is>
          <t>Vineesh Koppay</t>
        </is>
      </c>
      <c r="G7" s="59" t="inlineStr">
        <is>
          <t>Rene</t>
        </is>
      </c>
      <c r="H7" s="25" t="n"/>
    </row>
    <row r="8">
      <c r="A8" s="18" t="n">
        <v>6</v>
      </c>
      <c r="B8" s="21">
        <f>B7+7</f>
        <v/>
      </c>
      <c r="C8" s="59" t="inlineStr">
        <is>
          <t>Carl</t>
        </is>
      </c>
      <c r="D8" s="59" t="inlineStr">
        <is>
          <t>Christoph</t>
        </is>
      </c>
      <c r="E8" s="59" t="n"/>
      <c r="F8" s="59" t="inlineStr">
        <is>
          <t>Asad Raza</t>
        </is>
      </c>
      <c r="G8" s="59" t="inlineStr">
        <is>
          <t>Rene</t>
        </is>
      </c>
      <c r="H8" s="25" t="n"/>
    </row>
    <row r="9">
      <c r="A9" s="18" t="n">
        <v>7</v>
      </c>
      <c r="B9" s="21">
        <f>B8+7</f>
        <v/>
      </c>
      <c r="C9" s="59" t="inlineStr">
        <is>
          <t>Christoph</t>
        </is>
      </c>
      <c r="D9" s="59" t="inlineStr">
        <is>
          <t>Carl</t>
        </is>
      </c>
      <c r="E9" s="59" t="n"/>
      <c r="F9" s="59" t="inlineStr">
        <is>
          <t>Abdul Moeez</t>
        </is>
      </c>
      <c r="G9" s="59" t="inlineStr">
        <is>
          <t>Rene</t>
        </is>
      </c>
      <c r="H9" s="26" t="inlineStr">
        <is>
          <t>Mid-term due</t>
        </is>
      </c>
    </row>
    <row r="10">
      <c r="A10" s="18" t="n">
        <v>8</v>
      </c>
      <c r="B10" s="21">
        <f>B9+7</f>
        <v/>
      </c>
      <c r="C10" s="59" t="inlineStr">
        <is>
          <t>Carl</t>
        </is>
      </c>
      <c r="D10" s="59" t="inlineStr">
        <is>
          <t>Christoph</t>
        </is>
      </c>
      <c r="E10" s="59" t="n"/>
      <c r="F10" s="59" t="inlineStr">
        <is>
          <t>Shikhar</t>
        </is>
      </c>
      <c r="G10" s="59" t="inlineStr">
        <is>
          <t>Rene</t>
        </is>
      </c>
      <c r="H10" s="25" t="n"/>
    </row>
    <row r="11">
      <c r="A11" s="18" t="n">
        <v>9</v>
      </c>
      <c r="B11" s="21">
        <f>B10+7</f>
        <v/>
      </c>
      <c r="C11" s="59" t="inlineStr">
        <is>
          <t>Christoph</t>
        </is>
      </c>
      <c r="D11" s="59" t="inlineStr">
        <is>
          <t>Carl</t>
        </is>
      </c>
      <c r="E11" s="59" t="n"/>
      <c r="F11" s="59" t="inlineStr">
        <is>
          <t>Endri Shameti</t>
        </is>
      </c>
      <c r="G11" s="59" t="inlineStr">
        <is>
          <t>Rene</t>
        </is>
      </c>
      <c r="H11" s="25" t="n"/>
    </row>
    <row r="12">
      <c r="A12" s="18" t="n">
        <v>10</v>
      </c>
      <c r="B12" s="21">
        <f>B11+7</f>
        <v/>
      </c>
      <c r="C12" s="59" t="inlineStr">
        <is>
          <t>Carl</t>
        </is>
      </c>
      <c r="D12" s="59" t="inlineStr">
        <is>
          <t>Christoph</t>
        </is>
      </c>
      <c r="E12" s="59" t="n"/>
      <c r="F12" s="59" t="inlineStr">
        <is>
          <t>Dhruvin</t>
        </is>
      </c>
      <c r="G12" s="59" t="inlineStr">
        <is>
          <t>Rene</t>
        </is>
      </c>
      <c r="H12" s="25" t="n"/>
    </row>
    <row r="13">
      <c r="A13" s="18" t="n">
        <v>11</v>
      </c>
      <c r="B13" s="21">
        <f>B12+7</f>
        <v/>
      </c>
      <c r="C13" s="59" t="inlineStr">
        <is>
          <t>Christoph</t>
        </is>
      </c>
      <c r="D13" s="59" t="inlineStr">
        <is>
          <t>Carl</t>
        </is>
      </c>
      <c r="E13" s="59" t="n"/>
      <c r="F13" s="59" t="inlineStr">
        <is>
          <t>Qiblatain</t>
        </is>
      </c>
      <c r="G13" s="59" t="inlineStr">
        <is>
          <t>Rene</t>
        </is>
      </c>
      <c r="H13" s="25" t="n"/>
    </row>
    <row r="14">
      <c r="A14" s="18" t="n">
        <v>12</v>
      </c>
      <c r="B14" s="21">
        <f>B13+7</f>
        <v/>
      </c>
      <c r="C14" s="59" t="inlineStr">
        <is>
          <t>Carl</t>
        </is>
      </c>
      <c r="D14" s="59" t="inlineStr">
        <is>
          <t>Christoph</t>
        </is>
      </c>
      <c r="E14" s="59" t="n"/>
      <c r="F14" s="59" t="inlineStr">
        <is>
          <t>Vineesh Koppay</t>
        </is>
      </c>
      <c r="G14" s="59" t="inlineStr">
        <is>
          <t>Rene</t>
        </is>
      </c>
      <c r="H14" s="25" t="n"/>
    </row>
    <row r="15">
      <c r="A15" s="18" t="n">
        <v>13</v>
      </c>
      <c r="B15" s="21">
        <f>B14+7</f>
        <v/>
      </c>
      <c r="C15" s="59" t="inlineStr">
        <is>
          <t>Christoph</t>
        </is>
      </c>
      <c r="D15" s="59" t="inlineStr">
        <is>
          <t>Carl</t>
        </is>
      </c>
      <c r="E15" s="59" t="n"/>
      <c r="F15" s="59" t="inlineStr">
        <is>
          <t>Abdul Moeez</t>
        </is>
      </c>
      <c r="G15" s="59" t="inlineStr">
        <is>
          <t>Rene</t>
        </is>
      </c>
      <c r="H15" s="25" t="n"/>
    </row>
    <row r="16">
      <c r="A16" s="18" t="n">
        <v>14</v>
      </c>
      <c r="B16" s="21">
        <f>B15+7</f>
        <v/>
      </c>
      <c r="C16" s="59" t="inlineStr">
        <is>
          <t>Carl</t>
        </is>
      </c>
      <c r="D16" s="59" t="inlineStr">
        <is>
          <t>Christoph</t>
        </is>
      </c>
      <c r="E16" s="59" t="n"/>
      <c r="F16" s="59" t="inlineStr">
        <is>
          <t>Asad Raza</t>
        </is>
      </c>
      <c r="G16" s="59" t="inlineStr">
        <is>
          <t>Rene</t>
        </is>
      </c>
      <c r="H16" s="26" t="inlineStr">
        <is>
          <t>Demo day!</t>
        </is>
      </c>
    </row>
    <row r="17">
      <c r="A17" s="18" t="n">
        <v>15</v>
      </c>
      <c r="B17" s="21">
        <f>B16+7</f>
        <v/>
      </c>
      <c r="C17" s="59" t="inlineStr">
        <is>
          <t>Christoph</t>
        </is>
      </c>
      <c r="D17" s="59" t="inlineStr">
        <is>
          <t>Carl</t>
        </is>
      </c>
      <c r="E17" s="59" t="n"/>
      <c r="F17" s="59" t="inlineStr">
        <is>
          <t>Shikhar</t>
        </is>
      </c>
      <c r="G17" s="59" t="inlineStr">
        <is>
          <t>Rene</t>
        </is>
      </c>
      <c r="H17" s="26" t="inlineStr">
        <is>
          <t>Retrospective</t>
        </is>
      </c>
    </row>
    <row r="18">
      <c r="A18" s="18" t="n"/>
      <c r="B18" s="23" t="n"/>
      <c r="C18" s="59" t="n"/>
      <c r="D18" s="59" t="n"/>
      <c r="E18" s="59" t="n"/>
      <c r="F18" s="59" t="n"/>
      <c r="G18" s="59"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59" t="n"/>
      <c r="D20" s="59" t="n"/>
      <c r="E20" s="59" t="n"/>
      <c r="F20" s="59" t="n"/>
      <c r="G20" s="59" t="n"/>
      <c r="H20" s="25" t="n"/>
    </row>
    <row r="21">
      <c r="A21" s="18" t="n"/>
      <c r="B21" s="23" t="n"/>
      <c r="C21" s="59" t="n"/>
      <c r="D21" s="59" t="n"/>
      <c r="E21" s="59" t="n"/>
      <c r="F21" s="59" t="n"/>
      <c r="G21" s="59"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B30"/>
  <sheetViews>
    <sheetView workbookViewId="0">
      <selection activeCell="A1" sqref="A1"/>
    </sheetView>
  </sheetViews>
  <sheetFormatPr baseColWidth="8" defaultColWidth="12.63" defaultRowHeight="12.75" customHeight="1"/>
  <cols>
    <col width="25.13" customWidth="1" style="139" min="1" max="1"/>
    <col width="100.13" customWidth="1" style="139" min="2" max="2"/>
  </cols>
  <sheetData>
    <row r="1">
      <c r="A1" s="33" t="inlineStr">
        <is>
          <t>Goals</t>
        </is>
      </c>
      <c r="B1" s="132" t="inlineStr">
        <is>
          <t xml:space="preserve"> Create a flawless and valuable project that the industry partner will be able to use. Create clean and reusable code and structures</t>
        </is>
      </c>
    </row>
    <row r="2">
      <c r="A2" s="134" t="n"/>
      <c r="B2" s="134" t="n"/>
    </row>
    <row r="3">
      <c r="A3" s="33" t="inlineStr">
        <is>
          <t>Meeting norms</t>
        </is>
      </c>
      <c r="B3" s="132" t="inlineStr">
        <is>
          <t>- be on time -cams on -reach out if you are not gonna make it</t>
        </is>
      </c>
    </row>
    <row r="4">
      <c r="A4" s="134" t="n"/>
      <c r="B4" s="134" t="inlineStr">
        <is>
          <t>- We'll respect each other's opinions and try to communicate as much as possible</t>
        </is>
      </c>
    </row>
    <row r="5">
      <c r="A5" s="33" t="inlineStr">
        <is>
          <t>Working norms</t>
        </is>
      </c>
      <c r="B5" s="132" t="inlineStr">
        <is>
          <t>- Document and comment your code - We'll use branches in a sensefull way and not work directly on the main branch - Transparency - Clear commit messages - We test our code - We write clean code</t>
        </is>
      </c>
    </row>
    <row r="6">
      <c r="A6" s="134" t="n"/>
      <c r="B6" s="134" t="n"/>
    </row>
    <row r="7">
      <c r="A7" s="33" t="inlineStr">
        <is>
          <t>Coordination norms</t>
        </is>
      </c>
      <c r="B7" s="132" t="inlineStr">
        <is>
          <t>- We'll update the feature board in time - If there are multiple devs working on one item, they will communicate and coordinate and not work independently - We balance the workload among the team</t>
        </is>
      </c>
    </row>
    <row r="8">
      <c r="A8" s="134" t="n"/>
      <c r="B8" s="134" t="n"/>
    </row>
    <row r="9">
      <c r="A9" s="33" t="inlineStr">
        <is>
          <t>Communication norms</t>
        </is>
      </c>
      <c r="B9" s="132" t="inlineStr">
        <is>
          <t>- We talk about issues and problems when we face them - Transparent communication - Daily check the corresponding channels</t>
        </is>
      </c>
    </row>
    <row r="10">
      <c r="A10" s="134" t="n"/>
      <c r="B10" s="134" t="n"/>
    </row>
    <row r="11">
      <c r="A11" s="33" t="inlineStr">
        <is>
          <t>Consideration norms</t>
        </is>
      </c>
      <c r="B11" s="132" t="inlineStr">
        <is>
          <t>- We support each other when ever needed - We talk about issues openly - If we can't reach a consensus, we'll vote - We don't take critique personally</t>
        </is>
      </c>
    </row>
    <row r="12">
      <c r="A12" s="134" t="n"/>
      <c r="B12" s="134" t="n"/>
    </row>
    <row r="13">
      <c r="A13" s="33" t="inlineStr">
        <is>
          <t>Cont. improvement norms</t>
        </is>
      </c>
      <c r="B13" s="132" t="inlineStr">
        <is>
          <t>- We'll be open to learn and teach - We encourage critique and improvements efforts</t>
        </is>
      </c>
    </row>
    <row r="14">
      <c r="A14" s="134" t="n"/>
      <c r="B14" s="134" t="n"/>
    </row>
    <row r="15">
      <c r="A15" s="33" t="inlineStr">
        <is>
          <t>Rewards</t>
        </is>
      </c>
      <c r="B15" s="132" t="inlineStr">
        <is>
          <t>- We celebrate milestones with pizza - Very helpful team members get an extra slice of pizza</t>
        </is>
      </c>
    </row>
    <row r="16">
      <c r="A16" s="134" t="n"/>
      <c r="B16" s="134" t="n"/>
    </row>
    <row r="17">
      <c r="A17" s="33" t="inlineStr">
        <is>
          <t>Sanctions</t>
        </is>
      </c>
      <c r="B17" s="132" t="inlineStr">
        <is>
          <t>- Sit ups (at least 10, more if needed)</t>
        </is>
      </c>
    </row>
    <row r="18">
      <c r="A18" s="134" t="n"/>
      <c r="B18" s="134" t="n"/>
    </row>
    <row r="19">
      <c r="A19" s="33" t="inlineStr">
        <is>
          <t>Signatures</t>
        </is>
      </c>
      <c r="B19" s="33" t="n"/>
    </row>
    <row r="21">
      <c r="A21" s="35" t="inlineStr">
        <is>
          <t>Scrum Master</t>
        </is>
      </c>
      <c r="B21" s="35" t="inlineStr">
        <is>
          <t>Rene Jokiel</t>
        </is>
      </c>
    </row>
    <row r="22">
      <c r="A22" s="35" t="inlineStr">
        <is>
          <t>Product owner</t>
        </is>
      </c>
      <c r="B22" s="35" t="inlineStr">
        <is>
          <t>Christoph Huy</t>
        </is>
      </c>
    </row>
    <row r="23">
      <c r="A23" s="35" t="inlineStr">
        <is>
          <t>Product owner</t>
        </is>
      </c>
      <c r="B23" s="35" t="inlineStr">
        <is>
          <t>Carl Mosler</t>
        </is>
      </c>
    </row>
    <row r="24">
      <c r="A24" s="35" t="inlineStr">
        <is>
          <t>Software developer</t>
        </is>
      </c>
      <c r="B24" s="35" t="inlineStr">
        <is>
          <t>Endri Shameti</t>
        </is>
      </c>
    </row>
    <row r="25">
      <c r="A25" s="35" t="inlineStr">
        <is>
          <t>Software developer</t>
        </is>
      </c>
      <c r="B25" s="35" t="inlineStr">
        <is>
          <t>Dhruvin Vekariya</t>
        </is>
      </c>
    </row>
    <row r="26">
      <c r="A26" s="35" t="inlineStr">
        <is>
          <t>Software developer</t>
        </is>
      </c>
      <c r="B26" s="35" t="inlineStr">
        <is>
          <t>Abdul Moeez</t>
        </is>
      </c>
    </row>
    <row r="27">
      <c r="A27" s="35" t="inlineStr">
        <is>
          <t>Software developer</t>
        </is>
      </c>
      <c r="B27" s="35" t="inlineStr">
        <is>
          <t>Vineesh Koppay</t>
        </is>
      </c>
    </row>
    <row r="28">
      <c r="A28" s="35" t="inlineStr">
        <is>
          <t>Software developer</t>
        </is>
      </c>
      <c r="B28" s="35" t="inlineStr">
        <is>
          <t>Asad Raza</t>
        </is>
      </c>
    </row>
    <row r="29">
      <c r="A29" s="35" t="inlineStr">
        <is>
          <t>Software developer</t>
        </is>
      </c>
      <c r="B29" s="35" t="inlineStr">
        <is>
          <t>Qiblatain Fatima</t>
        </is>
      </c>
    </row>
    <row r="30">
      <c r="A30" s="35" t="inlineStr">
        <is>
          <t>Software developer</t>
        </is>
      </c>
      <c r="B30" s="35" t="inlineStr">
        <is>
          <t>Shikhar Thakur</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39" min="1" max="2"/>
  </cols>
  <sheetData>
    <row r="1">
      <c r="A1" s="36" t="inlineStr">
        <is>
          <t>Product Vision</t>
        </is>
      </c>
      <c r="B1" s="36" t="inlineStr">
        <is>
          <t>Project Mission</t>
        </is>
      </c>
    </row>
    <row r="2">
      <c r="A2" s="38" t="n"/>
      <c r="B2" s="38" t="n"/>
    </row>
    <row r="3">
      <c r="A3" s="39" t="inlineStr">
        <is>
          <t>Product Vision: TaskOrbit provides a domain-independent framework for building reliable conversational AI agents through declarative workflows and structured agent orchestration. The platform enables organizations to create configurable voice and chat agents that integrate STT, LLMs, TTS, and external APIs into unified conversational workflows.
By standardizing conversational automation across different business domains, TaskOrbit helps companies reduce manual effort, streamline internal and external processes, and deploy scalable AI-driven assistants without building custom infrastructure from scratch.</t>
        </is>
      </c>
      <c r="B3" s="39" t="inlineStr">
        <is>
          <t>The mission of this project is to create an MVP for a Voice AI Agent platform. Within the given project time-frame, the team is committed to delivering a fully functional conversational interface supporting configurable single-agent and multi-agent workflows. 
Core functionality will include the integration of STT for user input, a LLM backend for conversational processing and reasoning, agent orchestration capabilities, and TTS for audio output. The primary objective of this project is to provide a reliable and extensible end-to-end conversational system through the integration of these core components.</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A1:B3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39" min="1" max="1"/>
    <col width="105" customWidth="1" style="139" min="2" max="2"/>
  </cols>
  <sheetData>
    <row r="1">
      <c r="A1" s="40" t="inlineStr">
        <is>
          <t>Term</t>
        </is>
      </c>
      <c r="B1" s="40" t="inlineStr">
        <is>
          <t>Definition</t>
        </is>
      </c>
    </row>
    <row r="2">
      <c r="A2" s="41" t="inlineStr">
        <is>
          <t xml:space="preserve">E2E </t>
        </is>
      </c>
      <c r="B2" s="35" t="inlineStr">
        <is>
          <t>End-to-End (Workflow): The complete processing pipeline of a system interaction, starting from user input through internal processing and concluding with the system’s resulting output.</t>
        </is>
      </c>
    </row>
    <row r="3">
      <c r="A3" s="35" t="inlineStr">
        <is>
          <t>LLM (Large Language Model)</t>
        </is>
      </c>
      <c r="B3" s="35" t="inlineStr">
        <is>
          <t>The underlying AI backend used for conversational processing, reasoning, and generating text responses based on user prompts</t>
        </is>
      </c>
    </row>
    <row r="4">
      <c r="A4" s="35" t="inlineStr">
        <is>
          <t>TTS (Text to Speech)</t>
        </is>
      </c>
      <c r="B4" s="35" t="inlineStr">
        <is>
          <t>The technology that converts text into a spoken audio output (e.g. the voice of the agent talking to the user)</t>
        </is>
      </c>
    </row>
    <row r="5">
      <c r="A5" s="35" t="inlineStr">
        <is>
          <t>STT (Speech to Text)</t>
        </is>
      </c>
      <c r="B5" s="35" t="inlineStr">
        <is>
          <t>The technology that converts spoken audio input into a text (e.g., transcribing the spoken input from a user for a LLM)</t>
        </is>
      </c>
    </row>
    <row r="6">
      <c r="A6" s="35" t="inlineStr">
        <is>
          <t>Latency</t>
        </is>
      </c>
      <c r="B6" s="35" t="inlineStr">
        <is>
          <t>The time delay between the end of a user's spoken input and the beginning of the agent's audio response (Roundtrip Time)</t>
        </is>
      </c>
    </row>
    <row r="7">
      <c r="A7" s="35" t="inlineStr">
        <is>
          <t>Agent</t>
        </is>
      </c>
      <c r="B7" s="35" t="inlineStr">
        <is>
          <t>An autonomous entity within the platform configured with a specific persona, logic and context to interact with the user via voice (or text)</t>
        </is>
      </c>
    </row>
    <row r="8">
      <c r="A8" s="35" t="inlineStr">
        <is>
          <t>Agent Orchestration</t>
        </is>
      </c>
      <c r="B8" s="35" t="inlineStr">
        <is>
          <t>The capability of the TaskOrbit framework to coordinate multiple specialized conversational agents within a single workflow to solve tasks</t>
        </is>
      </c>
    </row>
    <row r="9">
      <c r="A9" s="35" t="inlineStr">
        <is>
          <t>Agent Persona</t>
        </is>
      </c>
      <c r="B9" s="35" t="inlineStr">
        <is>
          <t>The behavioral guidelines assigned to an agent to ensure it interacts appropriately with the user based on its specific task</t>
        </is>
      </c>
    </row>
    <row r="10">
      <c r="A10" s="35" t="inlineStr">
        <is>
          <t>Agent Hand-off</t>
        </is>
      </c>
      <c r="B10" s="35" t="inlineStr">
        <is>
          <t>The seamless transfer of the conversation from one specialized agent to another when the user's request shifts to a different topic</t>
        </is>
      </c>
    </row>
    <row r="11">
      <c r="A11" s="35" t="inlineStr">
        <is>
          <t>External Tool</t>
        </is>
      </c>
      <c r="B11" s="35" t="inlineStr">
        <is>
          <t>An external integration, API or function invoked by the agent to interact with outside services, databases or systems</t>
        </is>
      </c>
    </row>
    <row r="12">
      <c r="A12" s="35" t="inlineStr">
        <is>
          <t>Internal Tool</t>
        </is>
      </c>
      <c r="B12" s="35" t="inlineStr">
        <is>
          <t>An internal capability, native logic or workflow executed within the agent's system to process information or manage tasks</t>
        </is>
      </c>
    </row>
    <row r="13">
      <c r="A13" s="35" t="inlineStr">
        <is>
          <t>Conversation</t>
        </is>
      </c>
      <c r="B13" s="35" t="inlineStr">
        <is>
          <t>A continuous spoken or written dialogue interaction between a user and an agent, focused on achieving specific tasks</t>
        </is>
      </c>
    </row>
    <row r="14">
      <c r="A14" s="35" t="inlineStr">
        <is>
          <t>User Interruption</t>
        </is>
      </c>
      <c r="B14" s="35" t="inlineStr">
        <is>
          <t>The event where a user starts speaking while agent is actively outputting audio, signaling to stop talking and listen to the new input</t>
        </is>
      </c>
    </row>
    <row r="15">
      <c r="A15" s="35" t="inlineStr">
        <is>
          <t>Inference Server</t>
        </is>
      </c>
      <c r="B15" s="35" t="inlineStr">
        <is>
          <t>The dedicated cloud infrastructure hosting self-hosted, open-source LLMs for TaskOrbit to ensure independent processing</t>
        </is>
      </c>
    </row>
    <row r="16">
      <c r="A16" s="35" t="inlineStr">
        <is>
          <t>Workflow Engine</t>
        </is>
      </c>
      <c r="B16" s="35" t="inlineStr">
        <is>
          <t>The core backend component that manages the state, routing, and execution sequence of complex, multi-step tasks across different agents</t>
        </is>
      </c>
    </row>
    <row r="17">
      <c r="A17" s="35" t="inlineStr">
        <is>
          <t>Benchmark</t>
        </is>
      </c>
      <c r="B17" s="35" t="inlineStr">
        <is>
          <t>A test execution focused primarily on measuring E2E latency across different system configurations to identify the fastest processing variants</t>
        </is>
      </c>
    </row>
    <row r="19">
      <c r="A19" s="35" t="n"/>
      <c r="B19" s="35" t="n"/>
    </row>
    <row r="20">
      <c r="A20" s="35" t="n"/>
      <c r="B20" s="35" t="n"/>
    </row>
    <row r="21">
      <c r="A21" s="35" t="n"/>
      <c r="B21" s="35" t="n"/>
    </row>
    <row r="22">
      <c r="A22" s="35" t="n"/>
      <c r="B22" s="35" t="n"/>
    </row>
    <row r="23">
      <c r="A23" s="35" t="n"/>
      <c r="B23" s="35" t="n"/>
    </row>
    <row r="24">
      <c r="A24" s="35" t="n"/>
      <c r="B24" s="35" t="n"/>
    </row>
    <row r="25">
      <c r="A25" s="35" t="n"/>
      <c r="B25" s="35" t="n"/>
    </row>
    <row r="26">
      <c r="A26" s="35" t="n"/>
      <c r="B26" s="35" t="n"/>
    </row>
    <row r="27">
      <c r="A27" s="35" t="n"/>
      <c r="B27" s="35" t="n"/>
    </row>
    <row r="28">
      <c r="A28" s="35" t="n"/>
      <c r="B28" s="35" t="n"/>
    </row>
    <row r="29">
      <c r="A29" s="35" t="n"/>
      <c r="B29" s="35" t="n"/>
    </row>
    <row r="30">
      <c r="A30" s="35" t="n"/>
      <c r="B30" s="35" t="n"/>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39" min="1" max="1"/>
    <col width="112.63" customWidth="1" style="139" min="2" max="2"/>
  </cols>
  <sheetData>
    <row r="1">
      <c r="A1" s="42" t="inlineStr">
        <is>
          <t>Sprint #</t>
        </is>
      </c>
      <c r="B1" s="40" t="inlineStr">
        <is>
          <t>Sprint goal</t>
        </is>
      </c>
    </row>
    <row r="2">
      <c r="A2" s="131" t="n">
        <v>1</v>
      </c>
      <c r="B2" s="35" t="inlineStr">
        <is>
          <t>None</t>
        </is>
      </c>
    </row>
    <row r="3">
      <c r="A3" s="131">
        <f>A2+1</f>
        <v/>
      </c>
      <c r="B3" s="35" t="inlineStr">
        <is>
          <t>None</t>
        </is>
      </c>
    </row>
    <row r="4">
      <c r="A4" s="131">
        <f>A3+1</f>
        <v/>
      </c>
      <c r="B4" s="35" t="inlineStr">
        <is>
          <t>None</t>
        </is>
      </c>
    </row>
    <row r="5">
      <c r="A5" s="131">
        <f>A4+1</f>
        <v/>
      </c>
      <c r="B5" s="35" t="inlineStr">
        <is>
          <t>Optional</t>
        </is>
      </c>
    </row>
    <row r="6">
      <c r="A6" s="131">
        <f>A5+1</f>
        <v/>
      </c>
      <c r="B6" s="35" t="inlineStr">
        <is>
          <t>Persistent Single-Prompt Agent Prototype</t>
        </is>
      </c>
    </row>
    <row r="7">
      <c r="A7" s="131">
        <f>A6+1</f>
        <v/>
      </c>
      <c r="B7" s="35" t="inlineStr">
        <is>
          <t xml:space="preserve">Cloud Deployment/Migration &amp; System Robustness </t>
        </is>
      </c>
    </row>
    <row r="8">
      <c r="A8" s="131">
        <f>A7+1</f>
        <v/>
      </c>
      <c r="B8" s="35" t="inlineStr">
        <is>
          <t>Advance core platform capabilities &amp; foundation for multi-agent workflow orchestration</t>
        </is>
      </c>
    </row>
    <row r="9">
      <c r="A9" s="131">
        <f>A8+1</f>
        <v/>
      </c>
      <c r="B9" s="44" t="inlineStr">
        <is>
          <t>Refine agent interaction quality, tool integration &amp; production stability</t>
        </is>
      </c>
    </row>
    <row r="10">
      <c r="A10" s="131">
        <f>A9+1</f>
        <v/>
      </c>
      <c r="B10" s="45" t="inlineStr">
        <is>
          <t>Conditional Multi-Agent Workflows &amp; Unified Processing</t>
        </is>
      </c>
    </row>
    <row r="11">
      <c r="A11" s="131">
        <f>A10+1</f>
        <v/>
      </c>
      <c r="B11" s="46" t="inlineStr">
        <is>
          <t>Open-Source Model Integration  &amp; Evaluation Framework</t>
        </is>
      </c>
    </row>
    <row r="12">
      <c r="A12" s="131">
        <f>A11+1</f>
        <v/>
      </c>
      <c r="B12" s="45" t="inlineStr">
        <is>
          <t>System Hardening &amp; Benchmarking</t>
        </is>
      </c>
    </row>
    <row r="13">
      <c r="A13" s="131">
        <f>A12+1</f>
        <v/>
      </c>
      <c r="B13" s="45" t="inlineStr">
        <is>
          <t>Polishing &amp; Demo Day Prep</t>
        </is>
      </c>
    </row>
    <row r="14">
      <c r="A14" s="131" t="n">
        <v>13</v>
      </c>
      <c r="B14" s="35" t="inlineStr">
        <is>
          <t>Handover &amp; Documentation</t>
        </is>
      </c>
    </row>
    <row r="15">
      <c r="A15" s="131" t="n"/>
      <c r="B15" s="35" t="n"/>
    </row>
    <row r="16">
      <c r="A16" s="131" t="n"/>
      <c r="B16" s="35" t="n"/>
    </row>
    <row r="17">
      <c r="A17" s="131" t="n"/>
      <c r="B17" s="35" t="n"/>
    </row>
    <row r="18">
      <c r="A18" s="131" t="n"/>
      <c r="B18" s="35" t="n"/>
    </row>
    <row r="19">
      <c r="A19" s="131" t="n"/>
      <c r="B19" s="35" t="n"/>
    </row>
    <row r="20">
      <c r="A20" s="131" t="n"/>
      <c r="B20" s="35" t="n"/>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G66"/>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39" min="1" max="1"/>
    <col width="42.63" customWidth="1" style="139" min="2" max="2"/>
    <col width="62.63" customWidth="1" style="139" min="3" max="3"/>
    <col width="15.75" customWidth="1" style="139" min="4" max="7"/>
  </cols>
  <sheetData>
    <row r="1">
      <c r="A1" s="48" t="inlineStr">
        <is>
          <t>Sprint</t>
        </is>
      </c>
      <c r="B1" s="101" t="inlineStr">
        <is>
          <t>Goal</t>
        </is>
      </c>
      <c r="C1" s="101" t="inlineStr">
        <is>
          <t>Feature Name</t>
        </is>
      </c>
      <c r="D1" s="130" t="inlineStr">
        <is>
          <t>Est. size</t>
        </is>
      </c>
      <c r="E1" s="130" t="inlineStr">
        <is>
          <t>Est. remaining</t>
        </is>
      </c>
      <c r="F1" s="130" t="inlineStr">
        <is>
          <t>Real size</t>
        </is>
      </c>
      <c r="G1" s="130" t="inlineStr">
        <is>
          <t>Real remaining</t>
        </is>
      </c>
    </row>
    <row r="2">
      <c r="A2" s="80" t="n"/>
      <c r="B2" s="81" t="n"/>
      <c r="C2" s="132" t="n"/>
      <c r="D2" s="132" t="n"/>
      <c r="E2" s="132" t="n"/>
      <c r="F2" s="132" t="n"/>
      <c r="G2" s="132" t="n"/>
    </row>
    <row r="3">
      <c r="A3" s="55" t="inlineStr">
        <is>
          <t>Release</t>
        </is>
      </c>
      <c r="B3" s="56" t="n"/>
      <c r="C3" s="133" t="n"/>
      <c r="D3" s="133" t="n"/>
      <c r="E3" s="133" t="n"/>
      <c r="F3" s="133" t="n"/>
      <c r="G3" s="133" t="n"/>
    </row>
    <row r="4">
      <c r="A4" s="80" t="n"/>
      <c r="B4" s="81" t="n"/>
      <c r="C4" s="132" t="n"/>
      <c r="D4" s="132" t="n"/>
      <c r="E4" s="132" t="n"/>
      <c r="F4" s="132" t="n"/>
      <c r="G4" s="132" t="n"/>
    </row>
    <row r="5">
      <c r="A5" s="83" t="inlineStr">
        <is>
          <t>Total</t>
        </is>
      </c>
      <c r="B5" s="59" t="n"/>
      <c r="C5" s="134" t="n"/>
      <c r="D5" s="137">
        <f>SUM(D8:D14)</f>
        <v/>
      </c>
      <c r="E5" s="137">
        <f>D5</f>
        <v/>
      </c>
      <c r="F5" s="134" t="n"/>
      <c r="G5" s="134" t="n"/>
    </row>
    <row r="6">
      <c r="A6" s="80" t="n"/>
      <c r="B6" s="81" t="n"/>
      <c r="C6" s="132" t="n"/>
      <c r="D6" s="132" t="n"/>
      <c r="E6" s="132" t="n"/>
      <c r="F6" s="132" t="n"/>
      <c r="G6" s="132" t="n"/>
    </row>
    <row r="7">
      <c r="A7" s="61" t="inlineStr">
        <is>
          <t>Sprints</t>
        </is>
      </c>
      <c r="B7" s="92" t="n"/>
      <c r="C7" s="135" t="n"/>
      <c r="D7" s="135" t="n"/>
      <c r="E7" s="135" t="n"/>
      <c r="F7" s="135" t="n"/>
      <c r="G7" s="135" t="n"/>
    </row>
    <row r="8">
      <c r="A8" s="64" t="inlineStr">
        <is>
          <t>Sprints</t>
        </is>
      </c>
      <c r="B8" s="81" t="n"/>
      <c r="C8" s="132" t="n"/>
      <c r="D8" s="132" t="n"/>
      <c r="E8" s="93" t="inlineStr">
        <is>
          <t>Est. remaining</t>
        </is>
      </c>
      <c r="F8" s="132" t="n"/>
      <c r="G8" s="93" t="inlineStr">
        <is>
          <t>Real remaining</t>
        </is>
      </c>
    </row>
    <row r="9">
      <c r="A9" s="70" t="n">
        <v>1</v>
      </c>
      <c r="B9" s="83" t="n"/>
      <c r="C9" s="134" t="n"/>
      <c r="D9" s="137">
        <f>SUM(D18:D22)</f>
        <v/>
      </c>
      <c r="E9" s="137">
        <f>$D$5</f>
        <v/>
      </c>
      <c r="F9" s="137">
        <f>SUM(F18)</f>
        <v/>
      </c>
      <c r="G9" s="137">
        <f>$D$5</f>
        <v/>
      </c>
    </row>
    <row r="10">
      <c r="A10" s="80">
        <f>A9+1</f>
        <v/>
      </c>
      <c r="B10" s="81" t="n"/>
      <c r="C10" s="132" t="n"/>
      <c r="D10" s="138">
        <f>SUM(D24:D27)</f>
        <v/>
      </c>
      <c r="E10" s="138">
        <f>E9-D9</f>
        <v/>
      </c>
      <c r="F10" s="138">
        <f>SUM(F24:F27)</f>
        <v/>
      </c>
      <c r="G10" s="138">
        <f>G9-F9</f>
        <v/>
      </c>
    </row>
    <row r="11">
      <c r="A11" s="70">
        <f>A10+1</f>
        <v/>
      </c>
      <c r="B11" s="83" t="n"/>
      <c r="C11" s="134" t="n"/>
      <c r="D11" s="137">
        <f>sum(D30:D35)</f>
        <v/>
      </c>
      <c r="E11" s="137">
        <f>E10-D10</f>
        <v/>
      </c>
      <c r="F11" s="137">
        <f>SUM(F30:F34)</f>
        <v/>
      </c>
      <c r="G11" s="137">
        <f>G10-F10</f>
        <v/>
      </c>
    </row>
    <row r="12">
      <c r="A12" s="80" t="n">
        <v>4</v>
      </c>
      <c r="B12" s="81" t="n"/>
      <c r="C12" s="132" t="n"/>
      <c r="D12" s="132">
        <f>SUM(D36:D41)</f>
        <v/>
      </c>
      <c r="E12" s="138">
        <f>E11-D11</f>
        <v/>
      </c>
      <c r="F12" s="132">
        <f>SUM(F36:F41)</f>
        <v/>
      </c>
      <c r="G12" s="138">
        <f>G11-F11</f>
        <v/>
      </c>
    </row>
    <row r="13">
      <c r="A13" s="70" t="n">
        <v>5</v>
      </c>
      <c r="B13" s="83" t="n"/>
      <c r="C13" s="134" t="n"/>
      <c r="D13" s="134">
        <f>SUM(D43:D49)</f>
        <v/>
      </c>
      <c r="E13" s="134">
        <f>E12-D12</f>
        <v/>
      </c>
      <c r="F13" s="134">
        <f>SUM(F43:F49)</f>
        <v/>
      </c>
      <c r="G13" s="134">
        <f>G12-F12</f>
        <v/>
      </c>
    </row>
    <row r="14">
      <c r="A14" s="131" t="n">
        <v>6</v>
      </c>
      <c r="D14" s="0">
        <f>SUM(D51:D59)</f>
        <v/>
      </c>
      <c r="E14" s="138">
        <f>E13-D13</f>
        <v/>
      </c>
      <c r="F14" s="0">
        <f>SUM(F51:F59)</f>
        <v/>
      </c>
      <c r="G14" s="138">
        <f>G13-F13</f>
        <v/>
      </c>
    </row>
    <row r="15">
      <c r="A15" s="131" t="n"/>
      <c r="B15" s="83" t="n"/>
      <c r="C15" s="83" t="n"/>
      <c r="D15" s="83" t="n"/>
      <c r="E15" s="83" t="n"/>
      <c r="F15" s="83" t="n"/>
      <c r="G15" s="78" t="n"/>
    </row>
    <row r="16">
      <c r="A16" s="73" t="inlineStr">
        <is>
          <t>Features</t>
        </is>
      </c>
      <c r="B16" s="74" t="n"/>
      <c r="C16" s="75" t="n"/>
      <c r="D16" s="75" t="n"/>
      <c r="E16" s="75" t="n"/>
      <c r="F16" s="75" t="n"/>
      <c r="G16" s="75" t="n"/>
    </row>
    <row r="17">
      <c r="A17" s="70" t="n"/>
      <c r="B17" s="83" t="n"/>
      <c r="C17" s="134" t="n"/>
      <c r="D17" s="134" t="n"/>
      <c r="E17" s="134" t="n"/>
      <c r="F17" s="134" t="n"/>
      <c r="G17" s="134" t="n"/>
    </row>
    <row r="18">
      <c r="A18" s="76">
        <f>A9</f>
        <v/>
      </c>
      <c r="B18" s="84" t="inlineStr">
        <is>
          <t>None</t>
        </is>
      </c>
      <c r="C18" s="132" t="inlineStr">
        <is>
          <t>Design Team Logo #1</t>
        </is>
      </c>
      <c r="D18" s="132" t="n">
        <v>1</v>
      </c>
      <c r="E18" s="132" t="n"/>
      <c r="F18" s="132" t="n">
        <v>1</v>
      </c>
      <c r="G18" s="132" t="n"/>
    </row>
    <row r="19">
      <c r="A19" s="70" t="n"/>
      <c r="B19" s="78" t="n"/>
      <c r="C19" s="134" t="n"/>
      <c r="D19" s="134" t="n"/>
      <c r="E19" s="134" t="n"/>
      <c r="F19" s="134" t="n"/>
      <c r="G19" s="134" t="n"/>
    </row>
    <row r="20">
      <c r="A20" s="80" t="n"/>
      <c r="B20" s="81" t="n"/>
      <c r="C20" s="81" t="n"/>
      <c r="D20" s="138" t="n"/>
      <c r="E20" s="81" t="n"/>
      <c r="F20" s="138" t="n"/>
      <c r="G20" s="81" t="n"/>
    </row>
    <row r="21">
      <c r="A21" s="70" t="n"/>
      <c r="B21" s="78" t="n"/>
      <c r="C21" s="134" t="n"/>
      <c r="D21" s="137" t="n"/>
      <c r="E21" s="134" t="n"/>
      <c r="F21" s="134" t="n"/>
      <c r="G21" s="134" t="n"/>
    </row>
    <row r="22">
      <c r="A22" s="80" t="n"/>
      <c r="B22" s="81" t="n"/>
      <c r="C22" s="81" t="n"/>
      <c r="D22" s="138" t="n"/>
      <c r="E22" s="81" t="n"/>
      <c r="F22" s="81" t="n"/>
      <c r="G22" s="81" t="n"/>
    </row>
    <row r="23">
      <c r="A23" s="70" t="n"/>
      <c r="B23" s="78" t="n"/>
      <c r="C23" s="134" t="n"/>
      <c r="D23" s="137" t="n"/>
      <c r="E23" s="134" t="n"/>
      <c r="F23" s="134" t="n"/>
      <c r="G23" s="134" t="n"/>
    </row>
    <row r="24">
      <c r="A24" s="76">
        <f>A10</f>
        <v/>
      </c>
      <c r="B24" s="84" t="inlineStr">
        <is>
          <t>None</t>
        </is>
      </c>
      <c r="C24" s="132" t="inlineStr">
        <is>
          <t>Initialize Software Bill of Materials #13</t>
        </is>
      </c>
      <c r="D24" s="138" t="n">
        <v>3</v>
      </c>
      <c r="E24" s="81" t="n"/>
      <c r="F24" s="81" t="n">
        <v>2</v>
      </c>
      <c r="G24" s="132" t="n"/>
    </row>
    <row r="25">
      <c r="A25" s="70" t="n"/>
      <c r="B25" s="78" t="n"/>
      <c r="C25" s="134" t="inlineStr">
        <is>
          <t>System Architecture #12</t>
        </is>
      </c>
      <c r="D25" s="137" t="n">
        <v>5</v>
      </c>
      <c r="E25" s="134" t="n"/>
      <c r="F25" s="134" t="n">
        <v>5</v>
      </c>
      <c r="G25" s="134" t="n"/>
    </row>
    <row r="26">
      <c r="A26" s="80" t="n"/>
      <c r="B26" s="81" t="n"/>
      <c r="C26" s="81" t="inlineStr">
        <is>
          <t>First UI Design &amp; Implementation #5</t>
        </is>
      </c>
      <c r="D26" s="138" t="n">
        <v>5</v>
      </c>
      <c r="E26" s="81" t="n"/>
      <c r="F26" s="81" t="n">
        <v>5</v>
      </c>
      <c r="G26" s="81" t="n"/>
    </row>
    <row r="27">
      <c r="A27" s="70" t="n"/>
      <c r="B27" s="78" t="n"/>
      <c r="C27" s="134" t="inlineStr">
        <is>
          <t>Setup Development Environment #17</t>
        </is>
      </c>
      <c r="D27" s="137" t="n">
        <v>3</v>
      </c>
      <c r="E27" s="134" t="n"/>
      <c r="F27" s="82" t="inlineStr">
        <is>
          <t>Not Accepted</t>
        </is>
      </c>
      <c r="G27" s="134" t="n"/>
    </row>
    <row r="28">
      <c r="A28" s="80" t="n"/>
      <c r="B28" s="81" t="n"/>
      <c r="C28" s="81" t="n"/>
      <c r="D28" s="138" t="n"/>
      <c r="E28" s="81" t="n"/>
      <c r="F28" s="81" t="n"/>
      <c r="G28" s="81" t="n"/>
    </row>
    <row r="29">
      <c r="A29" s="70" t="n"/>
      <c r="B29" s="78" t="n"/>
      <c r="C29" s="134" t="n"/>
      <c r="D29" s="137" t="n"/>
      <c r="E29" s="134" t="n"/>
      <c r="F29" s="134" t="n"/>
      <c r="G29" s="134" t="n"/>
    </row>
    <row r="30">
      <c r="A30" s="76">
        <f>A11</f>
        <v/>
      </c>
      <c r="B30" s="84" t="inlineStr">
        <is>
          <t>None</t>
        </is>
      </c>
      <c r="C30" s="81" t="inlineStr">
        <is>
          <t>Setup Development Environment #17</t>
        </is>
      </c>
      <c r="D30" s="138" t="n">
        <v>3</v>
      </c>
      <c r="E30" s="81" t="n"/>
      <c r="F30" s="81" t="n">
        <v>3</v>
      </c>
      <c r="G30" s="132" t="n"/>
    </row>
    <row r="31">
      <c r="A31" s="70" t="n"/>
      <c r="B31" s="83" t="n"/>
      <c r="C31" s="134" t="inlineStr">
        <is>
          <t>Setup LiveKit Infrastructure #26</t>
        </is>
      </c>
      <c r="D31" s="137" t="n">
        <v>5</v>
      </c>
      <c r="E31" s="134" t="n"/>
      <c r="F31" s="134" t="n">
        <v>5</v>
      </c>
      <c r="G31" s="134" t="n"/>
    </row>
    <row r="32">
      <c r="A32" s="80" t="n"/>
      <c r="B32" s="84" t="n"/>
      <c r="C32" s="81" t="inlineStr">
        <is>
          <t>Schema Foundation #6</t>
        </is>
      </c>
      <c r="D32" s="138" t="n">
        <v>3</v>
      </c>
      <c r="E32" s="81" t="n"/>
      <c r="F32" s="81" t="n">
        <v>3</v>
      </c>
      <c r="G32" s="81" t="n"/>
    </row>
    <row r="33">
      <c r="A33" s="70" t="n"/>
      <c r="B33" s="83" t="n"/>
      <c r="C33" s="134" t="inlineStr">
        <is>
          <t>Prepare Build Process Review #22</t>
        </is>
      </c>
      <c r="D33" s="137" t="n">
        <v>3</v>
      </c>
      <c r="E33" s="134" t="n"/>
      <c r="F33" s="134" t="n">
        <v>2</v>
      </c>
      <c r="G33" s="134" t="n"/>
    </row>
    <row r="34">
      <c r="A34" s="80" t="n"/>
      <c r="B34" s="84" t="n"/>
      <c r="C34" s="81" t="inlineStr">
        <is>
          <t>Core Backend Foundation #7</t>
        </is>
      </c>
      <c r="D34" s="138" t="n">
        <v>5</v>
      </c>
      <c r="E34" s="81" t="n"/>
      <c r="F34" s="81" t="n">
        <v>5</v>
      </c>
      <c r="G34" s="81" t="n"/>
    </row>
    <row r="35">
      <c r="A35" s="70" t="n"/>
      <c r="B35" s="83" t="n"/>
      <c r="C35" s="134" t="n"/>
      <c r="D35" s="137" t="n"/>
      <c r="E35" s="134" t="n"/>
      <c r="F35" s="134" t="n"/>
      <c r="G35" s="134" t="n"/>
    </row>
    <row r="36">
      <c r="A36" s="80" t="n">
        <v>4</v>
      </c>
      <c r="B36" s="84">
        <f>'Sprint Goals'!B5</f>
        <v/>
      </c>
      <c r="C36" s="81" t="inlineStr">
        <is>
          <t>CI/CD Pipeline #10</t>
        </is>
      </c>
      <c r="D36" s="138" t="n">
        <v>5</v>
      </c>
      <c r="E36" s="81" t="n"/>
      <c r="F36" s="81" t="n">
        <v>8</v>
      </c>
      <c r="G36" s="81" t="n"/>
    </row>
    <row r="37">
      <c r="A37" s="70" t="n"/>
      <c r="B37" s="83" t="n"/>
      <c r="C37" s="134" t="inlineStr">
        <is>
          <t>Basic Agent Runtime #33</t>
        </is>
      </c>
      <c r="D37" s="137" t="n">
        <v>5</v>
      </c>
      <c r="E37" s="134" t="n"/>
      <c r="F37" s="134" t="n">
        <v>5</v>
      </c>
      <c r="G37" s="134" t="n"/>
    </row>
    <row r="38">
      <c r="A38" s="80" t="n"/>
      <c r="B38" s="84" t="n"/>
      <c r="C38" s="81" t="inlineStr">
        <is>
          <t>Basic LLM Integration #18</t>
        </is>
      </c>
      <c r="D38" s="138" t="n">
        <v>5</v>
      </c>
      <c r="E38" s="81" t="n"/>
      <c r="F38" s="81" t="n">
        <v>5</v>
      </c>
      <c r="G38" s="81" t="n"/>
    </row>
    <row r="39">
      <c r="A39" s="70" t="n"/>
      <c r="B39" s="83" t="n"/>
      <c r="C39" s="134" t="inlineStr">
        <is>
          <t>DB Integration #32</t>
        </is>
      </c>
      <c r="D39" s="137" t="n">
        <v>5</v>
      </c>
      <c r="E39" s="134" t="n"/>
      <c r="F39" s="134" t="n">
        <v>5</v>
      </c>
      <c r="G39" s="134" t="n"/>
    </row>
    <row r="40">
      <c r="A40" s="80" t="n"/>
      <c r="B40" s="84" t="n"/>
      <c r="C40" s="81" t="inlineStr">
        <is>
          <t>Audio Output via LiveKit (Text-to-Speech) # 15</t>
        </is>
      </c>
      <c r="D40" s="138" t="n">
        <v>5</v>
      </c>
      <c r="E40" s="81" t="n"/>
      <c r="F40" s="81" t="n">
        <v>5</v>
      </c>
      <c r="G40" s="81" t="n"/>
    </row>
    <row r="41">
      <c r="A41" s="70" t="n"/>
      <c r="B41" s="83" t="n"/>
      <c r="C41" s="134" t="inlineStr">
        <is>
          <t>Audio Input via LiveKit (Speech-to-Text) #14</t>
        </is>
      </c>
      <c r="D41" s="137" t="n">
        <v>5</v>
      </c>
      <c r="E41" s="134" t="n"/>
      <c r="F41" s="134" t="n">
        <v>8</v>
      </c>
      <c r="G41" s="134" t="n"/>
    </row>
    <row r="42">
      <c r="A42" s="81" t="n"/>
      <c r="B42" s="81" t="n"/>
      <c r="C42" s="81" t="n"/>
      <c r="D42" s="138" t="n"/>
      <c r="E42" s="81" t="n"/>
      <c r="F42" s="81" t="n"/>
      <c r="G42" s="81" t="n"/>
    </row>
    <row r="43">
      <c r="A43" s="70" t="n">
        <v>5</v>
      </c>
      <c r="B43" s="85">
        <f>'Sprint Goals'!B6</f>
        <v/>
      </c>
      <c r="C43" s="134" t="inlineStr">
        <is>
          <t>Build Process Video #43</t>
        </is>
      </c>
      <c r="D43" s="137" t="n">
        <v>2</v>
      </c>
      <c r="E43" s="134" t="n"/>
      <c r="F43" s="134" t="n">
        <v>3</v>
      </c>
      <c r="G43" s="134" t="n"/>
    </row>
    <row r="44">
      <c r="A44" s="80" t="n"/>
      <c r="B44" s="84" t="n"/>
      <c r="C44" s="81" t="inlineStr">
        <is>
          <t>User Conversation History #45</t>
        </is>
      </c>
      <c r="D44" s="138" t="n">
        <v>5</v>
      </c>
      <c r="E44" s="81" t="n"/>
      <c r="F44" s="138" t="inlineStr">
        <is>
          <t>Not Accepted</t>
        </is>
      </c>
      <c r="G44" s="81" t="n"/>
    </row>
    <row r="45">
      <c r="A45" s="70" t="n"/>
      <c r="B45" s="83" t="n"/>
      <c r="C45" s="134" t="inlineStr">
        <is>
          <t>Save Agent Configuration #47</t>
        </is>
      </c>
      <c r="D45" s="137" t="n">
        <v>3</v>
      </c>
      <c r="E45" s="134" t="n"/>
      <c r="F45" s="134" t="n">
        <v>3</v>
      </c>
      <c r="G45" s="134" t="n"/>
    </row>
    <row r="46">
      <c r="A46" s="80" t="n"/>
      <c r="B46" s="84" t="n"/>
      <c r="C46" s="81" t="inlineStr">
        <is>
          <t>Load Agent Configuration #51</t>
        </is>
      </c>
      <c r="D46" s="138" t="n">
        <v>3</v>
      </c>
      <c r="E46" s="81" t="n"/>
      <c r="F46" s="81" t="n">
        <v>3</v>
      </c>
      <c r="G46" s="81" t="n"/>
    </row>
    <row r="47">
      <c r="A47" s="70" t="n"/>
      <c r="B47" s="83" t="n"/>
      <c r="C47" s="134" t="inlineStr">
        <is>
          <t>Manage Agent Configuration #52</t>
        </is>
      </c>
      <c r="D47" s="137" t="n">
        <v>3</v>
      </c>
      <c r="E47" s="134" t="n"/>
      <c r="F47" s="134" t="n">
        <v>3</v>
      </c>
      <c r="G47" s="134" t="n"/>
    </row>
    <row r="48">
      <c r="A48" s="80" t="n"/>
      <c r="B48" s="84" t="n"/>
      <c r="C48" s="81" t="inlineStr">
        <is>
          <t>Logging &amp; Monitoring Setup #11</t>
        </is>
      </c>
      <c r="D48" s="138" t="n">
        <v>8</v>
      </c>
      <c r="E48" s="81" t="n"/>
      <c r="F48" s="81" t="n">
        <v>8</v>
      </c>
      <c r="G48" s="81" t="n"/>
    </row>
    <row r="49">
      <c r="A49" s="88" t="n"/>
      <c r="B49" s="83" t="n"/>
      <c r="C49" s="134" t="inlineStr">
        <is>
          <t>Voice Interruption for Audio Chat #55</t>
        </is>
      </c>
      <c r="D49" s="137" t="n">
        <v>5</v>
      </c>
      <c r="E49" s="134" t="n"/>
      <c r="F49" s="134" t="n">
        <v>8</v>
      </c>
      <c r="G49" s="134" t="n"/>
    </row>
    <row r="50">
      <c r="A50" s="80" t="n"/>
      <c r="B50" s="84" t="n"/>
      <c r="C50" s="81" t="n"/>
      <c r="D50" s="138" t="n"/>
      <c r="E50" s="81" t="n"/>
      <c r="F50" s="81" t="n"/>
      <c r="G50" s="81" t="n"/>
    </row>
    <row r="51">
      <c r="A51" s="70" t="n">
        <v>6</v>
      </c>
      <c r="B51" s="83">
        <f>'Sprint Goals'!B7</f>
        <v/>
      </c>
      <c r="C51" s="134" t="inlineStr">
        <is>
          <t>User Conversation History #45</t>
        </is>
      </c>
      <c r="D51" s="137" t="n">
        <v>5</v>
      </c>
      <c r="E51" s="134" t="n"/>
      <c r="F51" s="82" t="inlineStr">
        <is>
          <t>Not Accepted</t>
        </is>
      </c>
      <c r="G51" s="134" t="n"/>
    </row>
    <row r="52">
      <c r="A52" s="80" t="n"/>
      <c r="B52" s="84" t="n"/>
      <c r="C52" s="81" t="inlineStr">
        <is>
          <t>User, Design &amp; Build Documentation #74</t>
        </is>
      </c>
      <c r="D52" s="138" t="n">
        <v>2</v>
      </c>
      <c r="E52" s="81" t="n"/>
      <c r="F52" s="138" t="n">
        <v>3</v>
      </c>
      <c r="G52" s="81" t="n"/>
    </row>
    <row r="53">
      <c r="A53" s="70" t="n"/>
      <c r="B53" s="83" t="n"/>
      <c r="C53" s="134" t="inlineStr">
        <is>
          <t>Slot Extraction for Structured Task Inputs #70</t>
        </is>
      </c>
      <c r="D53" s="137" t="n">
        <v>5</v>
      </c>
      <c r="E53" s="134" t="n"/>
      <c r="F53" s="82" t="n">
        <v>5</v>
      </c>
      <c r="G53" s="134" t="n"/>
    </row>
    <row r="54">
      <c r="A54" s="80" t="n"/>
      <c r="B54" s="84" t="n"/>
      <c r="C54" s="81" t="inlineStr">
        <is>
          <t>Integrate Cloud Environment with IaC #21</t>
        </is>
      </c>
      <c r="D54" s="138" t="n">
        <v>8</v>
      </c>
      <c r="E54" s="81" t="n"/>
      <c r="F54" s="138" t="n">
        <v>8</v>
      </c>
      <c r="G54" s="81" t="n"/>
    </row>
    <row r="55">
      <c r="A55" s="70" t="n"/>
      <c r="B55" s="83" t="n"/>
      <c r="C55" s="134" t="inlineStr">
        <is>
          <t>Agent Persona Guardrails #69</t>
        </is>
      </c>
      <c r="D55" s="137" t="n">
        <v>5</v>
      </c>
      <c r="E55" s="134" t="n"/>
      <c r="F55" s="82" t="n">
        <v>5</v>
      </c>
      <c r="G55" s="134" t="n"/>
    </row>
    <row r="56">
      <c r="A56" s="80" t="n"/>
      <c r="B56" s="84" t="n"/>
      <c r="C56" s="81" t="n"/>
      <c r="D56" s="138" t="n"/>
      <c r="E56" s="81" t="n"/>
      <c r="F56" s="81" t="n"/>
      <c r="G56" s="81" t="n"/>
    </row>
    <row r="57">
      <c r="A57" s="70" t="n"/>
      <c r="B57" s="83" t="n"/>
      <c r="C57" s="134" t="n"/>
      <c r="D57" s="137" t="n"/>
      <c r="E57" s="134" t="n"/>
      <c r="F57" s="134" t="n"/>
      <c r="G57" s="134" t="n"/>
    </row>
    <row r="58">
      <c r="A58" s="80" t="n"/>
      <c r="B58" s="84" t="n"/>
      <c r="C58" s="81" t="n"/>
      <c r="D58" s="138" t="n"/>
      <c r="E58" s="81" t="n"/>
      <c r="F58" s="81" t="n"/>
      <c r="G58" s="81" t="n"/>
    </row>
    <row r="59">
      <c r="A59" s="70" t="n"/>
      <c r="B59" s="83" t="n"/>
      <c r="C59" s="134" t="n"/>
      <c r="D59" s="137" t="n"/>
      <c r="E59" s="134" t="n"/>
      <c r="F59" s="134" t="n"/>
      <c r="G59" s="134" t="n"/>
    </row>
    <row r="60">
      <c r="A60" s="80" t="n"/>
      <c r="B60" s="84" t="n"/>
      <c r="C60" s="81" t="n"/>
      <c r="D60" s="138" t="n"/>
      <c r="E60" s="81" t="n"/>
      <c r="F60" s="81" t="n"/>
      <c r="G60" s="81" t="n"/>
    </row>
    <row r="61">
      <c r="A61" s="70" t="n"/>
      <c r="B61" s="83" t="n"/>
      <c r="C61" s="134" t="n"/>
      <c r="D61" s="137" t="n"/>
      <c r="E61" s="134" t="n"/>
      <c r="F61" s="134" t="n"/>
      <c r="G61" s="134" t="n"/>
    </row>
    <row r="62">
      <c r="A62" s="80" t="n"/>
      <c r="B62" s="84" t="n"/>
      <c r="C62" s="81" t="n"/>
      <c r="D62" s="138" t="n"/>
      <c r="E62" s="81" t="n"/>
      <c r="F62" s="81" t="n"/>
      <c r="G62" s="81" t="n"/>
    </row>
    <row r="63">
      <c r="A63" s="70" t="n"/>
      <c r="B63" s="83" t="n"/>
      <c r="C63" s="134" t="n"/>
      <c r="D63" s="137" t="n"/>
      <c r="E63" s="134" t="n"/>
      <c r="F63" s="134" t="n"/>
      <c r="G63" s="134" t="n"/>
    </row>
    <row r="64">
      <c r="A64" s="80" t="n"/>
      <c r="B64" s="84" t="n"/>
      <c r="C64" s="81" t="n"/>
      <c r="D64" s="138" t="n"/>
      <c r="E64" s="81" t="n"/>
      <c r="F64" s="81" t="n"/>
      <c r="G64" s="81" t="n"/>
    </row>
    <row r="65">
      <c r="A65" s="70" t="n"/>
      <c r="B65" s="78" t="n"/>
      <c r="C65" s="89" t="inlineStr">
        <is>
          <t>PLEASE CREATE THE BURNDOWN CHART ON A NEW TAB USING THE DATA FROM THIS TAB</t>
        </is>
      </c>
      <c r="D65" s="137" t="n"/>
      <c r="E65" s="134" t="n"/>
      <c r="F65" s="134" t="n"/>
      <c r="G65" s="134" t="n"/>
    </row>
    <row r="66">
      <c r="A66" s="80" t="n"/>
      <c r="B66" s="81" t="n"/>
      <c r="C66" s="132" t="n"/>
      <c r="D66" s="132" t="n"/>
      <c r="E66" s="132" t="n"/>
      <c r="F66" s="132" t="n"/>
      <c r="G66" s="132"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C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39" min="1" max="1"/>
    <col width="76.63" customWidth="1" style="139" min="2" max="2"/>
    <col width="80.5" customWidth="1" style="139" min="3" max="3"/>
  </cols>
  <sheetData>
    <row r="1">
      <c r="A1" s="42" t="inlineStr">
        <is>
          <t>Sprint #</t>
        </is>
      </c>
      <c r="B1" s="40" t="inlineStr">
        <is>
          <t>Story Points Realized</t>
        </is>
      </c>
      <c r="C1" s="40" t="inlineStr">
        <is>
          <t>Story Points Estimate</t>
        </is>
      </c>
    </row>
    <row r="2">
      <c r="A2" s="131" t="n">
        <v>1</v>
      </c>
      <c r="B2" s="131">
        <f>'Mid-Project Release plan'!F9</f>
        <v/>
      </c>
      <c r="C2" s="131">
        <f t="array" ref="C2:C7">'Mid-Project Release plan'!D9:D14</f>
        <v/>
      </c>
    </row>
    <row r="3">
      <c r="A3" s="131">
        <f>A2+1</f>
        <v/>
      </c>
      <c r="B3" s="131">
        <f>'Mid-Project Release plan'!F10</f>
        <v/>
      </c>
      <c r="C3" s="131" t="n">
        <v>16</v>
      </c>
    </row>
    <row r="4">
      <c r="A4" s="131">
        <f>A3+1</f>
        <v/>
      </c>
      <c r="B4" s="131">
        <f>'Mid-Project Release plan'!F11</f>
        <v/>
      </c>
      <c r="C4" s="131" t="n">
        <v>19</v>
      </c>
    </row>
    <row r="5">
      <c r="A5" s="131">
        <f>A4+1</f>
        <v/>
      </c>
      <c r="B5" s="131">
        <f>'Mid-Project Release plan'!F12</f>
        <v/>
      </c>
      <c r="C5" s="131" t="n">
        <v>30</v>
      </c>
    </row>
    <row r="6">
      <c r="A6" s="131">
        <f>A5+1</f>
        <v/>
      </c>
      <c r="B6" s="131">
        <f>IF('Mid-Project Release plan'!F13=0, "", 'Mid-Project Release plan'!F13)</f>
        <v/>
      </c>
      <c r="C6" s="131" t="n">
        <v>29</v>
      </c>
    </row>
    <row r="7">
      <c r="A7" s="131">
        <f>A6+1</f>
        <v/>
      </c>
      <c r="B7" s="131">
        <f>IF('Mid-Project Release plan'!F14=0, "", 'Mid-Project Release plan'!F14)</f>
        <v/>
      </c>
      <c r="C7" s="131" t="n">
        <v>25</v>
      </c>
    </row>
    <row r="8">
      <c r="A8" s="131">
        <f>A7+1</f>
        <v/>
      </c>
      <c r="B8" s="131">
        <f>IF('Final Project Release plan'!F9=0, "", 'Final Project Release plan'!F9)</f>
        <v/>
      </c>
      <c r="C8" s="131">
        <f>IF('Final Project Release plan'!D9=0, "", 'Final Project Release plan'!D9)</f>
        <v/>
      </c>
    </row>
    <row r="9">
      <c r="A9" s="131">
        <f>A8+1</f>
        <v/>
      </c>
      <c r="B9" s="131">
        <f>IF('Final Project Release plan'!F10=0, "", 'Final Project Release plan'!F10)</f>
        <v/>
      </c>
      <c r="C9" s="131">
        <f>IF(OR('Final Project Release plan'!D10=0, B8=""), "", 'Final Project Release plan'!D10)</f>
        <v/>
      </c>
    </row>
    <row r="10">
      <c r="A10" s="131">
        <f>A9+1</f>
        <v/>
      </c>
      <c r="B10" s="131">
        <f>IF('Final Project Release plan'!F11=0, "", 'Final Project Release plan'!F11)</f>
        <v/>
      </c>
      <c r="C10" s="131">
        <f>IF(OR('Final Project Release plan'!D11=0, B9=""), "", 'Final Project Release plan'!D11)</f>
        <v/>
      </c>
    </row>
    <row r="11">
      <c r="A11" s="131">
        <f>A10+1</f>
        <v/>
      </c>
      <c r="B11" s="131">
        <f>IF('Final Project Release plan'!F12=0, "", 'Final Project Release plan'!F12)</f>
        <v/>
      </c>
      <c r="C11" s="131">
        <f>IF(OR('Final Project Release plan'!D12=0, B10=""), "", 'Final Project Release plan'!D12)</f>
        <v/>
      </c>
    </row>
    <row r="12">
      <c r="A12" s="131">
        <f>A11+1</f>
        <v/>
      </c>
      <c r="B12" s="131">
        <f>IF('Final Project Release plan'!F13=0, "", 'Final Project Release plan'!F13)</f>
        <v/>
      </c>
      <c r="C12" s="131">
        <f>IF(OR('Final Project Release plan'!D13=0, B11=""), "", 'Final Project Release plan'!D13)</f>
        <v/>
      </c>
    </row>
    <row r="13">
      <c r="A13" s="131">
        <f>A12+1</f>
        <v/>
      </c>
      <c r="B13" s="131">
        <f>IF('Final Project Release plan'!F14=0, "", 'Final Project Release plan'!F14)</f>
        <v/>
      </c>
      <c r="C13" s="131">
        <f>IF(OR('Final Project Release plan'!D14=0, B12=""), "", 'Final Project Release plan'!D14)</f>
        <v/>
      </c>
    </row>
    <row r="14">
      <c r="A14" s="131">
        <f>A13+1</f>
        <v/>
      </c>
      <c r="B14" s="131">
        <f>IF('Final Project Release plan'!F15=0, "", 'Final Project Release plan'!F15)</f>
        <v/>
      </c>
      <c r="C14" s="131">
        <f>IF(OR('Final Project Release plan'!D15=0, B13=""), "", 'Final Project Release plan'!D15)</f>
        <v/>
      </c>
    </row>
    <row r="15">
      <c r="A15" s="131" t="n"/>
      <c r="B15" s="131">
        <f>IF('Final Project Release plan'!F16=0, "", 'Final Project Release plan'!F16)</f>
        <v/>
      </c>
      <c r="C15" s="131">
        <f>IF(OR('Final Project Release plan'!D16=0, B14=""), "", 'Final Project Release plan'!D16)</f>
        <v/>
      </c>
    </row>
    <row r="16">
      <c r="A16" s="131" t="n"/>
      <c r="B16" s="131">
        <f>IF('Final Project Release plan'!F17=0, "", 'Final Project Release plan'!F17)</f>
        <v/>
      </c>
      <c r="C16" s="131" t="n"/>
    </row>
    <row r="17">
      <c r="A17" s="131" t="n"/>
      <c r="B17" s="131" t="n"/>
      <c r="C17" s="131" t="n"/>
    </row>
    <row r="18">
      <c r="A18" s="131" t="n"/>
      <c r="B18" s="90" t="inlineStr">
        <is>
          <t>PLEASE CREATE THE VELOCITY CHART ON A NEW TAB USING THE DATA FROM THIS TAB</t>
        </is>
      </c>
      <c r="C18" s="90" t="n"/>
    </row>
    <row r="19">
      <c r="A19" s="131" t="n"/>
      <c r="B19" s="131" t="n"/>
      <c r="C19" s="131" t="n"/>
    </row>
    <row r="20">
      <c r="A20" s="131" t="n"/>
      <c r="B20" s="131" t="n"/>
      <c r="C20" s="131"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sheetProtection selectLockedCells="1" selectUnlockedCells="1" sheet="1" objects="1" insertRows="1" insertHyperlinks="1" autoFilter="1" scenarios="0" formatColumns="1" deleteColumns="1" insertColumns="1" pivotTables="1" deleteRows="1" formatCells="1" formatRows="1" sort="1"/>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0" summaryRight="0"/>
    <pageSetUpPr fitToPage="1"/>
  </sheetPr>
  <dimension ref="A1:G107"/>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39" min="1" max="1"/>
    <col width="45" customWidth="1" style="139" min="2" max="2"/>
    <col width="65.38" customWidth="1" style="139" min="3" max="3"/>
    <col width="15.75" customWidth="1" style="139" min="4" max="7"/>
  </cols>
  <sheetData>
    <row r="1">
      <c r="A1" s="48" t="inlineStr">
        <is>
          <t>Sprint</t>
        </is>
      </c>
      <c r="B1" s="100" t="inlineStr">
        <is>
          <t>Goal</t>
        </is>
      </c>
      <c r="C1" s="101" t="inlineStr">
        <is>
          <t>Feature Name</t>
        </is>
      </c>
      <c r="D1" s="130" t="inlineStr">
        <is>
          <t>Est. size</t>
        </is>
      </c>
      <c r="E1" s="130" t="inlineStr">
        <is>
          <t>Est. remaining</t>
        </is>
      </c>
      <c r="F1" s="130" t="inlineStr">
        <is>
          <t>Real size</t>
        </is>
      </c>
      <c r="G1" s="130" t="inlineStr">
        <is>
          <t>Real remaining</t>
        </is>
      </c>
    </row>
    <row r="2">
      <c r="A2" s="80" t="n"/>
      <c r="B2" s="132" t="n"/>
      <c r="C2" s="132" t="n"/>
      <c r="D2" s="132" t="n"/>
      <c r="E2" s="132" t="n"/>
      <c r="F2" s="132" t="n"/>
      <c r="G2" s="132" t="n"/>
    </row>
    <row r="3">
      <c r="A3" s="55" t="inlineStr">
        <is>
          <t>Release</t>
        </is>
      </c>
      <c r="B3" s="133" t="n"/>
      <c r="C3" s="133" t="n"/>
      <c r="D3" s="133" t="n"/>
      <c r="E3" s="133" t="n"/>
      <c r="F3" s="133" t="n"/>
      <c r="G3" s="133" t="n"/>
    </row>
    <row r="4">
      <c r="A4" s="80" t="n"/>
      <c r="B4" s="132" t="n"/>
      <c r="C4" s="132" t="n"/>
      <c r="D4" s="132" t="n"/>
      <c r="E4" s="132" t="n"/>
      <c r="F4" s="132" t="n"/>
      <c r="G4" s="132" t="n"/>
    </row>
    <row r="5">
      <c r="A5" s="83" t="inlineStr">
        <is>
          <t>Total</t>
        </is>
      </c>
      <c r="B5" s="134" t="n"/>
      <c r="C5" s="134" t="n"/>
      <c r="D5" s="137">
        <f>sum(D8:D15)</f>
        <v/>
      </c>
      <c r="E5" s="137">
        <f>D5</f>
        <v/>
      </c>
      <c r="F5" s="134" t="n"/>
      <c r="G5" s="134" t="n"/>
    </row>
    <row r="6">
      <c r="A6" s="80" t="n"/>
      <c r="B6" s="132" t="n"/>
      <c r="C6" s="132" t="n"/>
      <c r="D6" s="132" t="n"/>
      <c r="E6" s="132" t="n"/>
      <c r="F6" s="132" t="n"/>
      <c r="G6" s="132" t="n"/>
    </row>
    <row r="7">
      <c r="A7" s="61" t="inlineStr">
        <is>
          <t>Sprints</t>
        </is>
      </c>
      <c r="B7" s="92" t="n"/>
      <c r="C7" s="135" t="n"/>
      <c r="D7" s="135" t="n"/>
      <c r="E7" s="135" t="n"/>
      <c r="F7" s="135" t="n"/>
      <c r="G7" s="135" t="n"/>
    </row>
    <row r="8">
      <c r="A8" s="64" t="inlineStr">
        <is>
          <t>Sprints</t>
        </is>
      </c>
      <c r="B8" s="132" t="n"/>
      <c r="C8" s="132" t="n"/>
      <c r="D8" s="132" t="n"/>
      <c r="E8" s="93" t="inlineStr">
        <is>
          <t>Est. remaining</t>
        </is>
      </c>
      <c r="G8" s="93" t="inlineStr">
        <is>
          <t>Real remaining</t>
        </is>
      </c>
    </row>
    <row r="9">
      <c r="A9" s="70" t="n">
        <v>7</v>
      </c>
      <c r="B9" s="134" t="n"/>
      <c r="C9" s="134" t="n"/>
      <c r="D9" s="137">
        <f>sum(D19:D24)</f>
        <v/>
      </c>
      <c r="E9" s="137">
        <f>$D$5</f>
        <v/>
      </c>
      <c r="F9" s="137">
        <f>sum(F19:F24)</f>
        <v/>
      </c>
      <c r="G9" s="137">
        <f>$D$5</f>
        <v/>
      </c>
    </row>
    <row r="10">
      <c r="A10" s="80">
        <f>A9+1</f>
        <v/>
      </c>
      <c r="B10" s="132" t="n"/>
      <c r="C10" s="132" t="n"/>
      <c r="D10" s="138">
        <f>SUM(D26:D32)</f>
        <v/>
      </c>
      <c r="E10" s="138">
        <f>E9-D9</f>
        <v/>
      </c>
      <c r="F10" s="138">
        <f>SUM(F26:F32)</f>
        <v/>
      </c>
      <c r="G10" s="138">
        <f>G9-F9</f>
        <v/>
      </c>
    </row>
    <row r="11">
      <c r="A11" s="70">
        <f>A10+1</f>
        <v/>
      </c>
      <c r="B11" s="134" t="n"/>
      <c r="C11" s="134" t="n"/>
      <c r="D11" s="137">
        <f>SUM(D34:D41)</f>
        <v/>
      </c>
      <c r="E11" s="137">
        <f>E10-D10</f>
        <v/>
      </c>
      <c r="F11" s="137">
        <f>SUM(F34:F41)</f>
        <v/>
      </c>
      <c r="G11" s="137">
        <f>G10-F10</f>
        <v/>
      </c>
    </row>
    <row r="12">
      <c r="A12" s="80" t="n">
        <v>10</v>
      </c>
      <c r="B12" s="132" t="n"/>
      <c r="C12" s="132" t="n"/>
      <c r="D12" s="132">
        <f>SUM(D43:D49)</f>
        <v/>
      </c>
      <c r="E12" s="132">
        <f>E11-D11</f>
        <v/>
      </c>
      <c r="F12" s="132">
        <f>SUM(F43:F49)</f>
        <v/>
      </c>
      <c r="G12" s="132">
        <f>G11-F11</f>
        <v/>
      </c>
    </row>
    <row r="13">
      <c r="A13" s="70" t="n">
        <v>11</v>
      </c>
      <c r="B13" s="134" t="n"/>
      <c r="C13" s="134" t="n"/>
      <c r="D13" s="134">
        <f>SUM(D51:D60)</f>
        <v/>
      </c>
      <c r="E13" s="134">
        <f>E12-D12</f>
        <v/>
      </c>
      <c r="F13" s="134">
        <f>SUM(F51:F60)</f>
        <v/>
      </c>
      <c r="G13" s="134">
        <f>G12-F12</f>
        <v/>
      </c>
    </row>
    <row r="14">
      <c r="A14" s="80" t="n">
        <v>12</v>
      </c>
      <c r="B14" s="132" t="n"/>
      <c r="C14" s="132" t="n"/>
      <c r="D14" s="132">
        <f>SUM(D61:D73)</f>
        <v/>
      </c>
      <c r="E14" s="132">
        <f>E13-D13</f>
        <v/>
      </c>
      <c r="F14" s="132">
        <f>SUM(F61:F73)</f>
        <v/>
      </c>
      <c r="G14" s="132">
        <f>G13-F13</f>
        <v/>
      </c>
    </row>
    <row r="15">
      <c r="A15" s="70" t="n">
        <v>13</v>
      </c>
      <c r="B15" s="134" t="n"/>
      <c r="C15" s="134" t="n"/>
      <c r="D15" s="134">
        <f>SUM(D74:D84)</f>
        <v/>
      </c>
      <c r="E15" s="134">
        <f>E14-D14</f>
        <v/>
      </c>
      <c r="F15" s="134">
        <f>SUM(F74:F84)</f>
        <v/>
      </c>
      <c r="G15" s="134">
        <f>G14-F14</f>
        <v/>
      </c>
    </row>
    <row r="16">
      <c r="A16" s="80" t="n"/>
      <c r="B16" s="132" t="n"/>
      <c r="C16" s="132" t="n"/>
      <c r="D16" s="132" t="n"/>
      <c r="E16" s="138" t="n"/>
      <c r="F16" s="132" t="n"/>
      <c r="G16" s="138" t="n"/>
    </row>
    <row r="17">
      <c r="A17" s="73" t="inlineStr">
        <is>
          <t>Features</t>
        </is>
      </c>
      <c r="B17" s="74" t="n"/>
      <c r="C17" s="75" t="n"/>
      <c r="D17" s="75" t="n"/>
      <c r="E17" s="75" t="n"/>
      <c r="F17" s="75" t="n"/>
      <c r="G17" s="75" t="n"/>
    </row>
    <row r="18">
      <c r="A18" s="70" t="n"/>
      <c r="B18" s="134" t="n"/>
      <c r="C18" s="134" t="n"/>
      <c r="D18" s="134" t="n"/>
      <c r="E18" s="134" t="n"/>
      <c r="F18" s="134" t="n"/>
      <c r="G18" s="134" t="n"/>
    </row>
    <row r="19">
      <c r="A19" s="76">
        <f>A9</f>
        <v/>
      </c>
      <c r="B19" s="132">
        <f>'Sprint Goals'!B8</f>
        <v/>
      </c>
      <c r="C19" s="132" t="inlineStr">
        <is>
          <t>Agent Config not persistant through text and voice prompts #99</t>
        </is>
      </c>
      <c r="D19" s="132" t="n">
        <v>3</v>
      </c>
      <c r="E19" s="132" t="n"/>
      <c r="F19" s="132" t="n">
        <v>3</v>
      </c>
      <c r="G19" s="132" t="n"/>
    </row>
    <row r="20">
      <c r="A20" s="70" t="n"/>
      <c r="B20" s="78" t="n"/>
      <c r="C20" s="134" t="inlineStr">
        <is>
          <t>Agent/LLM Memory Safeguards #56</t>
        </is>
      </c>
      <c r="D20" s="134" t="n">
        <v>8</v>
      </c>
      <c r="E20" s="134" t="n"/>
      <c r="F20" s="134" t="n">
        <v>8</v>
      </c>
      <c r="G20" s="134" t="n"/>
    </row>
    <row r="21">
      <c r="A21" s="80" t="n"/>
      <c r="B21" s="132" t="n"/>
      <c r="C21" s="81" t="inlineStr">
        <is>
          <t>Voice input splits into multiple bubbles &amp; numbers/symbols are formatted wrong #102</t>
        </is>
      </c>
      <c r="D21" s="138" t="n">
        <v>5</v>
      </c>
      <c r="E21" s="81" t="n"/>
      <c r="F21" s="138" t="n">
        <v>5</v>
      </c>
      <c r="G21" s="81" t="n"/>
    </row>
    <row r="22">
      <c r="A22" s="70" t="n"/>
      <c r="B22" s="134" t="n"/>
      <c r="C22" s="134" t="inlineStr">
        <is>
          <t>Agent Routing Foundation #8</t>
        </is>
      </c>
      <c r="D22" s="137" t="n">
        <v>8</v>
      </c>
      <c r="E22" s="134" t="n"/>
      <c r="F22" s="137" t="n">
        <v>8</v>
      </c>
      <c r="G22" s="134" t="n"/>
    </row>
    <row r="23">
      <c r="A23" s="80" t="n"/>
      <c r="B23" s="132" t="n"/>
      <c r="C23" s="81" t="inlineStr">
        <is>
          <t>[PROD] Agent config not loaded correctly #100</t>
        </is>
      </c>
      <c r="D23" s="138" t="n">
        <v>3</v>
      </c>
      <c r="E23" s="81" t="n"/>
      <c r="F23" s="138" t="n">
        <v>3</v>
      </c>
      <c r="G23" s="81" t="n"/>
    </row>
    <row r="24">
      <c r="A24" s="70" t="n"/>
      <c r="B24" s="134" t="n"/>
      <c r="C24" s="134" t="inlineStr">
        <is>
          <t>Livekit - Session Limit #112</t>
        </is>
      </c>
      <c r="D24" s="137" t="n">
        <v>3</v>
      </c>
      <c r="E24" s="134" t="n"/>
      <c r="F24" s="137" t="n">
        <v>3</v>
      </c>
      <c r="G24" s="134" t="n"/>
    </row>
    <row r="25">
      <c r="A25" s="132" t="n"/>
      <c r="B25" s="132" t="n"/>
      <c r="C25" s="132" t="n"/>
      <c r="D25" s="132" t="n"/>
      <c r="E25" s="132" t="n"/>
      <c r="F25" s="132" t="n"/>
      <c r="G25" s="132" t="n"/>
    </row>
    <row r="26">
      <c r="A26" s="95">
        <f>A10</f>
        <v/>
      </c>
      <c r="B26" s="70">
        <f>'Sprint Goals'!B9</f>
        <v/>
      </c>
      <c r="C26" s="134" t="inlineStr">
        <is>
          <t>User Conversation History #45</t>
        </is>
      </c>
      <c r="D26" s="137" t="n">
        <v>5</v>
      </c>
      <c r="E26" s="134" t="n"/>
      <c r="F26" s="137" t="n">
        <v>5</v>
      </c>
      <c r="G26" s="134" t="n"/>
    </row>
    <row r="27">
      <c r="A27" s="80" t="n"/>
      <c r="B27" s="132" t="n"/>
      <c r="C27" s="132" t="inlineStr">
        <is>
          <t>Generic Adapter for external Tools #66</t>
        </is>
      </c>
      <c r="D27" s="132" t="n">
        <v>3</v>
      </c>
      <c r="E27" s="132" t="n"/>
      <c r="F27" s="132" t="n">
        <v>5</v>
      </c>
      <c r="G27" s="132" t="n"/>
    </row>
    <row r="28">
      <c r="A28" s="70" t="n"/>
      <c r="B28" s="134" t="n"/>
      <c r="C28" s="134" t="inlineStr">
        <is>
          <t>Stream LLM Responses #57</t>
        </is>
      </c>
      <c r="D28" s="137" t="n">
        <v>5</v>
      </c>
      <c r="E28" s="134" t="n"/>
      <c r="F28" s="137" t="inlineStr">
        <is>
          <t>Not Accepted</t>
        </is>
      </c>
      <c r="G28" s="134" t="n"/>
    </row>
    <row r="29">
      <c r="A29" s="80" t="n"/>
      <c r="B29" s="132" t="n"/>
      <c r="C29" s="132" t="inlineStr">
        <is>
          <t>[Tools] End Call #116</t>
        </is>
      </c>
      <c r="D29" s="132" t="n">
        <v>3</v>
      </c>
      <c r="E29" s="132" t="n"/>
      <c r="F29" s="132" t="n">
        <v>3</v>
      </c>
      <c r="G29" s="132" t="n"/>
    </row>
    <row r="30">
      <c r="A30" s="70" t="n"/>
      <c r="B30" s="134" t="n"/>
      <c r="C30" s="134" t="inlineStr">
        <is>
          <t>Critical Action Confirmation #49</t>
        </is>
      </c>
      <c r="D30" s="137" t="n">
        <v>3</v>
      </c>
      <c r="E30" s="134" t="n"/>
      <c r="F30" s="137" t="n">
        <v>5</v>
      </c>
      <c r="G30" s="134" t="n"/>
    </row>
    <row r="31">
      <c r="A31" s="76" t="n"/>
      <c r="B31" s="132" t="n"/>
      <c r="C31" s="132" t="inlineStr">
        <is>
          <t>Microphone Mute interrupts Agent TTS output #101</t>
        </is>
      </c>
      <c r="D31" s="132" t="n">
        <v>3</v>
      </c>
      <c r="E31" s="132" t="n"/>
      <c r="F31" s="96" t="inlineStr">
        <is>
          <t>Not Accepted</t>
        </is>
      </c>
      <c r="G31" s="132" t="n"/>
    </row>
    <row r="32">
      <c r="A32" s="70" t="n"/>
      <c r="B32" s="78" t="n"/>
      <c r="C32" s="134" t="inlineStr">
        <is>
          <t>Provider Model Dropdown #87</t>
        </is>
      </c>
      <c r="D32" s="137" t="n">
        <v>2</v>
      </c>
      <c r="E32" s="134" t="n"/>
      <c r="F32" s="137" t="inlineStr">
        <is>
          <t>Not Accepted</t>
        </is>
      </c>
      <c r="G32" s="134" t="n"/>
    </row>
    <row r="33">
      <c r="A33" s="76" t="n"/>
      <c r="B33" s="132" t="n"/>
      <c r="C33" s="132" t="n"/>
      <c r="D33" s="132" t="n"/>
      <c r="E33" s="132" t="n"/>
      <c r="F33" s="132" t="n"/>
      <c r="G33" s="132" t="n"/>
    </row>
    <row r="34">
      <c r="A34" s="95">
        <f>A11</f>
        <v/>
      </c>
      <c r="B34" s="134">
        <f>'Sprint Goals'!B10</f>
        <v/>
      </c>
      <c r="C34" s="134" t="inlineStr">
        <is>
          <t>Conditional Workflow Engine #71</t>
        </is>
      </c>
      <c r="D34" s="137" t="n">
        <v>5</v>
      </c>
      <c r="E34" s="134" t="n"/>
      <c r="F34" s="137" t="n">
        <v>8</v>
      </c>
      <c r="G34" s="134" t="n"/>
    </row>
    <row r="35">
      <c r="A35" s="76" t="n"/>
      <c r="B35" s="132" t="n"/>
      <c r="C35" s="132" t="inlineStr">
        <is>
          <t>[PROD] Grafana Backend Fix #103</t>
        </is>
      </c>
      <c r="D35" s="132" t="n">
        <v>3</v>
      </c>
      <c r="E35" s="132" t="n"/>
      <c r="F35" s="132" t="n">
        <v>3</v>
      </c>
      <c r="G35" s="132" t="n"/>
    </row>
    <row r="36">
      <c r="A36" s="70" t="n"/>
      <c r="B36" s="78" t="n"/>
      <c r="C36" s="134" t="inlineStr">
        <is>
          <t>Interchangeable Model Selection #135</t>
        </is>
      </c>
      <c r="D36" s="137" t="n">
        <v>3</v>
      </c>
      <c r="E36" s="134" t="n"/>
      <c r="F36" s="137" t="n">
        <v>5</v>
      </c>
      <c r="G36" s="134" t="n"/>
    </row>
    <row r="37">
      <c r="A37" s="76" t="n"/>
      <c r="B37" s="132" t="n"/>
      <c r="C37" s="132" t="inlineStr">
        <is>
          <t>Mute Agent Output #107</t>
        </is>
      </c>
      <c r="D37" s="132" t="n">
        <v>3</v>
      </c>
      <c r="E37" s="132" t="n"/>
      <c r="F37" s="132" t="n">
        <v>3</v>
      </c>
      <c r="G37" s="132" t="n"/>
    </row>
    <row r="38">
      <c r="A38" s="70" t="n"/>
      <c r="B38" s="78" t="n"/>
      <c r="C38" s="134" t="inlineStr">
        <is>
          <t>Custom Agent Routing #129</t>
        </is>
      </c>
      <c r="D38" s="137" t="n">
        <v>5</v>
      </c>
      <c r="E38" s="134" t="n"/>
      <c r="F38" s="137" t="n">
        <v>8</v>
      </c>
      <c r="G38" s="134" t="n"/>
    </row>
    <row r="39">
      <c r="A39" s="76" t="n"/>
      <c r="B39" s="132" t="n"/>
      <c r="C39" s="132" t="inlineStr">
        <is>
          <t>Stream LLM Responses #57</t>
        </is>
      </c>
      <c r="D39" s="132" t="n">
        <v>5</v>
      </c>
      <c r="E39" s="132" t="n"/>
      <c r="F39" s="132" t="n">
        <v>5</v>
      </c>
      <c r="G39" s="132" t="n"/>
    </row>
    <row r="40">
      <c r="A40" s="134" t="n"/>
      <c r="B40" s="137" t="n"/>
      <c r="C40" s="134" t="inlineStr">
        <is>
          <t>Microphone Mute interrupts Agent TTS output #101</t>
        </is>
      </c>
      <c r="D40" s="137" t="n">
        <v>3</v>
      </c>
      <c r="E40" s="134" t="n"/>
      <c r="F40" s="137" t="n">
        <v>3</v>
      </c>
      <c r="G40" s="134" t="n"/>
    </row>
    <row r="41">
      <c r="A41" s="132" t="n"/>
      <c r="B41" s="132" t="n"/>
      <c r="C41" s="132" t="inlineStr">
        <is>
          <t>Provider Model Dropdown #87</t>
        </is>
      </c>
      <c r="D41" s="132" t="n">
        <v>2</v>
      </c>
      <c r="E41" s="132" t="n"/>
      <c r="F41" s="132" t="n">
        <v>5</v>
      </c>
      <c r="G41" s="132" t="n"/>
    </row>
    <row r="42">
      <c r="A42" s="137" t="n"/>
      <c r="B42" s="137" t="n"/>
      <c r="C42" s="137" t="n"/>
      <c r="D42" s="137" t="n"/>
      <c r="E42" s="134" t="n"/>
      <c r="F42" s="137" t="n"/>
      <c r="G42" s="134" t="n"/>
    </row>
    <row r="43">
      <c r="A43" s="98" t="n">
        <v>10</v>
      </c>
      <c r="B43" s="132">
        <f>'Sprint Goals'!B11</f>
        <v/>
      </c>
      <c r="C43" s="132" t="inlineStr">
        <is>
          <t>Cloud Open Source Inference Server #67</t>
        </is>
      </c>
      <c r="D43" s="132" t="n">
        <v>13</v>
      </c>
      <c r="E43" s="132" t="n"/>
      <c r="F43" s="132" t="n">
        <v>8</v>
      </c>
      <c r="G43" s="132" t="n"/>
    </row>
    <row r="44">
      <c r="A44" s="70" t="n"/>
      <c r="B44" s="78" t="n"/>
      <c r="C44" s="78" t="inlineStr">
        <is>
          <t>Benchmarking Environment #86</t>
        </is>
      </c>
      <c r="D44" s="137" t="n">
        <v>8</v>
      </c>
      <c r="E44" s="134" t="n"/>
      <c r="F44" s="137" t="n">
        <v>8</v>
      </c>
      <c r="G44" s="134" t="n"/>
    </row>
    <row r="45">
      <c r="A45" s="76" t="n"/>
      <c r="B45" s="132" t="n"/>
      <c r="C45" s="132" t="inlineStr">
        <is>
          <t>Investigate high API usage rate #151</t>
        </is>
      </c>
      <c r="D45" s="132" t="n">
        <v>5</v>
      </c>
      <c r="E45" s="132" t="n"/>
      <c r="F45" s="132" t="n">
        <v>3</v>
      </c>
      <c r="G45" s="132" t="n"/>
    </row>
    <row r="46">
      <c r="A46" s="70" t="n"/>
      <c r="B46" s="78" t="n"/>
      <c r="C46" s="134" t="inlineStr">
        <is>
          <t>Voice detection does not terminate #153</t>
        </is>
      </c>
      <c r="D46" s="134" t="n">
        <v>5</v>
      </c>
      <c r="E46" s="134" t="n"/>
      <c r="F46" s="137" t="n">
        <v>8</v>
      </c>
      <c r="G46" s="134" t="n"/>
    </row>
    <row r="47">
      <c r="A47" s="76" t="n"/>
      <c r="B47" s="132" t="n"/>
      <c r="C47" s="132" t="n"/>
      <c r="D47" s="132" t="n"/>
      <c r="E47" s="132" t="n"/>
      <c r="F47" s="132" t="n"/>
      <c r="G47" s="132" t="n"/>
    </row>
    <row r="48">
      <c r="A48" s="70" t="n"/>
      <c r="B48" s="78" t="n"/>
      <c r="C48" s="78" t="n"/>
      <c r="D48" s="137" t="n"/>
      <c r="E48" s="134" t="n"/>
      <c r="F48" s="137" t="n"/>
      <c r="G48" s="134" t="n"/>
    </row>
    <row r="49">
      <c r="A49" s="76" t="n"/>
      <c r="B49" s="132" t="n"/>
      <c r="C49" s="132" t="n"/>
      <c r="D49" s="132" t="n"/>
      <c r="E49" s="132" t="n"/>
      <c r="F49" s="132" t="n"/>
      <c r="G49" s="132" t="n"/>
    </row>
    <row r="50">
      <c r="A50" s="70" t="n"/>
      <c r="B50" s="78" t="n"/>
      <c r="C50" s="134" t="n"/>
      <c r="D50" s="137" t="n"/>
      <c r="E50" s="134" t="n"/>
      <c r="F50" s="137" t="n"/>
      <c r="G50" s="134" t="n"/>
    </row>
    <row r="51">
      <c r="A51" s="76" t="n">
        <v>11</v>
      </c>
      <c r="B51" s="132">
        <f>'Sprint Goals'!B12</f>
        <v/>
      </c>
      <c r="C51" s="132" t="inlineStr">
        <is>
          <t>Component Benchmarking #68</t>
        </is>
      </c>
      <c r="D51" s="132" t="n">
        <v>5</v>
      </c>
      <c r="E51" s="132" t="n"/>
      <c r="F51" s="132" t="n"/>
      <c r="G51" s="132" t="n"/>
    </row>
    <row r="52">
      <c r="A52" s="70" t="n"/>
      <c r="B52" s="78" t="n"/>
      <c r="C52" s="134" t="inlineStr">
        <is>
          <t>Grafana OS Model Monitoring integration #139</t>
        </is>
      </c>
      <c r="D52" s="137" t="n">
        <v>8</v>
      </c>
      <c r="E52" s="134" t="n"/>
      <c r="F52" s="137" t="n"/>
      <c r="G52" s="134" t="n"/>
    </row>
    <row r="53">
      <c r="A53" s="76" t="n"/>
      <c r="B53" s="132" t="n"/>
      <c r="C53" s="132" t="inlineStr">
        <is>
          <t>Visuals &amp; Fallback for external API Outages #150</t>
        </is>
      </c>
      <c r="D53" s="132" t="n">
        <v>3</v>
      </c>
      <c r="E53" s="132" t="n"/>
      <c r="F53" s="132" t="n"/>
      <c r="G53" s="132" t="n"/>
    </row>
    <row r="54">
      <c r="A54" s="70" t="n"/>
      <c r="B54" s="78" t="n"/>
      <c r="C54" s="134" t="inlineStr">
        <is>
          <t>Self-Hosted LLM Inference on GCP #160</t>
        </is>
      </c>
      <c r="D54" s="137" t="n">
        <v>8</v>
      </c>
      <c r="E54" s="134" t="n"/>
      <c r="F54" s="137" t="n"/>
      <c r="G54" s="134" t="n"/>
    </row>
    <row r="55">
      <c r="A55" s="76" t="n"/>
      <c r="B55" s="132" t="n"/>
      <c r="C55" s="132" t="inlineStr">
        <is>
          <t>Email transcription issue #169</t>
        </is>
      </c>
      <c r="D55" s="132" t="n">
        <v>3</v>
      </c>
      <c r="E55" s="132" t="n"/>
      <c r="F55" s="132" t="n"/>
      <c r="G55" s="132" t="n"/>
    </row>
    <row r="56">
      <c r="A56" s="70" t="n"/>
      <c r="B56" s="78" t="n"/>
      <c r="C56" s="134" t="inlineStr">
        <is>
          <t>Agent Guadrails need to be added #168</t>
        </is>
      </c>
      <c r="D56" s="137" t="n">
        <v>8</v>
      </c>
      <c r="E56" s="134" t="n"/>
      <c r="F56" s="137" t="n"/>
      <c r="G56" s="134" t="n"/>
    </row>
    <row r="57">
      <c r="A57" s="76" t="n"/>
      <c r="B57" s="132" t="n"/>
      <c r="C57" s="132" t="n"/>
      <c r="D57" s="132" t="n"/>
      <c r="E57" s="132" t="n"/>
      <c r="F57" s="132" t="n"/>
      <c r="G57" s="132" t="n"/>
    </row>
    <row r="58">
      <c r="A58" s="70" t="n"/>
      <c r="B58" s="78" t="n"/>
      <c r="C58" s="137" t="n"/>
      <c r="D58" s="137" t="n"/>
      <c r="E58" s="134" t="n"/>
      <c r="F58" s="137" t="n"/>
      <c r="G58" s="134" t="n"/>
    </row>
    <row r="59">
      <c r="A59" s="132" t="n"/>
      <c r="B59" s="132" t="n"/>
      <c r="C59" s="132" t="n"/>
      <c r="D59" s="132" t="n"/>
      <c r="E59" s="132" t="n"/>
      <c r="F59" s="132" t="n"/>
      <c r="G59" s="132" t="n"/>
    </row>
    <row r="60">
      <c r="A60" s="134" t="n"/>
      <c r="B60" s="134" t="n"/>
      <c r="C60" s="134" t="n"/>
      <c r="D60" s="137" t="n"/>
      <c r="E60" s="134" t="n"/>
      <c r="F60" s="137" t="n"/>
      <c r="G60" s="134" t="n"/>
    </row>
    <row r="61">
      <c r="A61" s="76" t="n">
        <v>12</v>
      </c>
      <c r="B61" s="132">
        <f>'Sprint Goals'!B13</f>
        <v/>
      </c>
      <c r="C61" s="134" t="inlineStr">
        <is>
          <t>Prepare demo day slide</t>
        </is>
      </c>
      <c r="D61" s="137" t="n">
        <v>2</v>
      </c>
      <c r="E61" s="132" t="n"/>
      <c r="F61" s="132" t="n"/>
      <c r="G61" s="132" t="n"/>
    </row>
    <row r="62">
      <c r="A62" s="70" t="n"/>
      <c r="B62" s="78" t="n"/>
      <c r="C62" s="132" t="inlineStr">
        <is>
          <t>Create a demo video #187</t>
        </is>
      </c>
      <c r="D62" s="132" t="n">
        <v>3</v>
      </c>
      <c r="E62" s="134" t="n"/>
      <c r="F62" s="137" t="n"/>
      <c r="G62" s="134" t="n"/>
    </row>
    <row r="63">
      <c r="A63" s="76" t="n"/>
      <c r="B63" s="132" t="n"/>
      <c r="C63" s="132" t="inlineStr">
        <is>
          <t>UI Clean Up #181</t>
        </is>
      </c>
      <c r="D63" s="132" t="n">
        <v>2</v>
      </c>
      <c r="E63" s="132" t="n"/>
      <c r="F63" s="132" t="n"/>
      <c r="G63" s="132" t="n"/>
    </row>
    <row r="64">
      <c r="A64" s="70" t="n"/>
      <c r="B64" s="78" t="n"/>
      <c r="C64" s="134" t="inlineStr">
        <is>
          <t xml:space="preserve">SBOM Automation &amp; Legal Notices UI #138 </t>
        </is>
      </c>
      <c r="D64" s="137" t="n">
        <v>3</v>
      </c>
      <c r="E64" s="134" t="n"/>
      <c r="F64" s="137" t="n"/>
      <c r="G64" s="134" t="n"/>
    </row>
    <row r="65">
      <c r="A65" s="76" t="n"/>
      <c r="B65" s="132" t="n"/>
      <c r="C65" s="134" t="inlineStr">
        <is>
          <t xml:space="preserve">ElevenLabs and Deepgram provider switching is unreliable #166 </t>
        </is>
      </c>
      <c r="D65" s="137" t="n">
        <v>3</v>
      </c>
      <c r="E65" s="132" t="n"/>
      <c r="F65" s="132" t="n"/>
      <c r="G65" s="132" t="n"/>
    </row>
    <row r="66">
      <c r="A66" s="70" t="n"/>
      <c r="B66" s="78" t="n"/>
      <c r="C66" s="132" t="inlineStr">
        <is>
          <t>Support Markdown formatting in Chat UI #165</t>
        </is>
      </c>
      <c r="D66" s="132" t="n">
        <v>3</v>
      </c>
      <c r="E66" s="134" t="n"/>
      <c r="F66" s="137" t="n"/>
      <c r="G66" s="134" t="n"/>
    </row>
    <row r="67">
      <c r="A67" s="76" t="n"/>
      <c r="B67" s="132" t="n"/>
      <c r="C67" s="134" t="inlineStr">
        <is>
          <t>Dynamic Critical Action Confirmation #143</t>
        </is>
      </c>
      <c r="D67" s="137" t="n">
        <v>3</v>
      </c>
      <c r="E67" s="132" t="n"/>
      <c r="F67" s="132" t="n"/>
      <c r="G67" s="132" t="n"/>
    </row>
    <row r="68">
      <c r="A68" s="70" t="n"/>
      <c r="B68" s="78" t="n"/>
      <c r="C68" s="132" t="inlineStr">
        <is>
          <t>Possibility to delete Sessions in History</t>
        </is>
      </c>
      <c r="D68" s="132" t="n">
        <v>3</v>
      </c>
      <c r="E68" s="134" t="n"/>
      <c r="F68" s="137" t="n"/>
      <c r="G68" s="134" t="n"/>
    </row>
    <row r="69">
      <c r="A69" s="76" t="n"/>
      <c r="B69" s="132" t="n"/>
      <c r="E69" s="132" t="n"/>
      <c r="F69" s="132" t="n"/>
      <c r="G69" s="132" t="n"/>
    </row>
    <row r="70">
      <c r="A70" s="134" t="n"/>
      <c r="B70" s="134" t="n"/>
      <c r="E70" s="134" t="n"/>
      <c r="F70" s="137" t="n"/>
      <c r="G70" s="134" t="n"/>
    </row>
    <row r="71">
      <c r="A71" s="132" t="n"/>
      <c r="B71" s="132" t="n"/>
      <c r="E71" s="132" t="n"/>
      <c r="F71" s="132" t="n"/>
      <c r="G71" s="132" t="n"/>
    </row>
    <row r="72">
      <c r="A72" s="137" t="n"/>
      <c r="B72" s="137" t="n"/>
      <c r="C72" s="137" t="n"/>
      <c r="D72" s="137" t="n"/>
      <c r="E72" s="137" t="n"/>
      <c r="F72" s="137" t="n"/>
      <c r="G72" s="134" t="n"/>
    </row>
    <row r="73">
      <c r="A73" s="132" t="n"/>
      <c r="B73" s="132" t="n"/>
      <c r="C73" s="132" t="n"/>
      <c r="D73" s="132" t="n"/>
      <c r="E73" s="132" t="n"/>
      <c r="F73" s="132" t="n"/>
      <c r="G73" s="132" t="n"/>
    </row>
    <row r="74">
      <c r="A74" s="95" t="n">
        <v>13</v>
      </c>
      <c r="B74" s="78">
        <f>'Sprint Goals'!B14</f>
        <v/>
      </c>
      <c r="C74" s="134" t="inlineStr">
        <is>
          <t>Finalize user, (technical) design and build/deploy documentation #182</t>
        </is>
      </c>
      <c r="D74" s="137" t="n">
        <v>3</v>
      </c>
      <c r="E74" s="134" t="n"/>
      <c r="F74" s="134" t="n"/>
      <c r="G74" s="134" t="n"/>
    </row>
    <row r="75">
      <c r="A75" s="76" t="n"/>
      <c r="B75" s="132" t="n"/>
      <c r="C75" s="132" t="inlineStr">
        <is>
          <t>Remove Legacy Text Processing Pipeline #126</t>
        </is>
      </c>
      <c r="D75" s="132" t="n">
        <v>5</v>
      </c>
      <c r="E75" s="132" t="n"/>
      <c r="F75" s="81" t="n"/>
      <c r="G75" s="81" t="n"/>
    </row>
    <row r="76">
      <c r="A76" s="70" t="n"/>
      <c r="B76" s="78" t="n"/>
      <c r="C76" s="134" t="inlineStr">
        <is>
          <t xml:space="preserve">Create project report </t>
        </is>
      </c>
      <c r="D76" s="134" t="n">
        <v>2</v>
      </c>
      <c r="E76" s="134" t="n"/>
      <c r="F76" s="134" t="n"/>
      <c r="G76" s="134" t="n"/>
    </row>
    <row r="77">
      <c r="A77" s="76" t="n"/>
      <c r="B77" s="132" t="n"/>
      <c r="C77" s="132" t="inlineStr">
        <is>
          <t>Final Bug Fixes</t>
        </is>
      </c>
      <c r="D77" s="132" t="n">
        <v>5</v>
      </c>
      <c r="E77" s="81" t="n"/>
      <c r="F77" s="81" t="n"/>
      <c r="G77" s="81" t="n"/>
    </row>
    <row r="78">
      <c r="A78" s="70" t="n"/>
      <c r="B78" s="78" t="n"/>
      <c r="C78" s="134" t="inlineStr">
        <is>
          <t>Annotate and clean up Code</t>
        </is>
      </c>
      <c r="D78" s="134" t="n">
        <v>3</v>
      </c>
      <c r="E78" s="134" t="n"/>
      <c r="F78" s="134" t="n"/>
      <c r="G78" s="134" t="n"/>
    </row>
    <row r="79">
      <c r="A79" s="76" t="n"/>
      <c r="B79" s="132" t="n"/>
      <c r="C79" s="132" t="inlineStr">
        <is>
          <t>Prepare Demoday presentation</t>
        </is>
      </c>
      <c r="D79" s="132" t="n">
        <v>3</v>
      </c>
      <c r="E79" s="81" t="n"/>
      <c r="F79" s="81" t="n"/>
      <c r="G79" s="81" t="n"/>
    </row>
    <row r="80">
      <c r="A80" s="70" t="n"/>
      <c r="B80" s="134" t="n"/>
      <c r="C80" s="134" t="inlineStr">
        <is>
          <t>Readme clean up</t>
        </is>
      </c>
      <c r="D80" s="134" t="n">
        <v>1</v>
      </c>
      <c r="E80" s="134" t="n"/>
      <c r="F80" s="134" t="n"/>
      <c r="G80" s="134" t="n"/>
    </row>
    <row r="81">
      <c r="A81" s="80" t="n"/>
      <c r="B81" s="132" t="n"/>
      <c r="C81" s="132" t="n"/>
      <c r="D81" s="132" t="n"/>
      <c r="E81" s="132" t="n"/>
      <c r="F81" s="132" t="n"/>
      <c r="G81" s="132" t="n"/>
    </row>
    <row r="82">
      <c r="A82" s="70" t="n"/>
      <c r="B82" s="134" t="n"/>
      <c r="C82" s="137" t="n"/>
      <c r="D82" s="137" t="n"/>
      <c r="E82" s="134" t="n"/>
      <c r="F82" s="134" t="n"/>
      <c r="G82" s="134" t="n"/>
    </row>
    <row r="83">
      <c r="A83" s="80" t="n"/>
      <c r="B83" s="132" t="n"/>
      <c r="C83" s="132" t="n"/>
      <c r="D83" s="132" t="n"/>
      <c r="E83" s="132" t="n"/>
      <c r="F83" s="132" t="n"/>
      <c r="G83" s="132" t="n"/>
    </row>
    <row r="84">
      <c r="A84" s="70" t="n"/>
      <c r="B84" s="134" t="n"/>
      <c r="C84" s="137" t="n"/>
      <c r="D84" s="137" t="n"/>
      <c r="E84" s="134" t="n"/>
      <c r="F84" s="134" t="n"/>
      <c r="G84" s="134" t="n"/>
    </row>
    <row r="85">
      <c r="A85" s="80" t="n"/>
      <c r="B85" s="132" t="n"/>
      <c r="C85" s="132" t="n"/>
      <c r="D85" s="132" t="n"/>
      <c r="E85" s="132" t="n"/>
      <c r="F85" s="132" t="n"/>
      <c r="G85" s="132" t="n"/>
    </row>
    <row r="86">
      <c r="A86" s="70" t="n"/>
      <c r="B86" s="134" t="n"/>
      <c r="C86" s="137" t="n"/>
      <c r="D86" s="137" t="n"/>
      <c r="E86" s="134" t="n"/>
      <c r="F86" s="134" t="n"/>
      <c r="G86" s="134" t="n"/>
    </row>
    <row r="87">
      <c r="A87" s="80" t="n"/>
      <c r="B87" s="132" t="n"/>
      <c r="C87" s="132" t="n"/>
      <c r="D87" s="132" t="n"/>
      <c r="E87" s="132" t="n"/>
      <c r="F87" s="132" t="n"/>
      <c r="G87" s="132" t="n"/>
    </row>
    <row r="88">
      <c r="A88" s="70" t="n"/>
      <c r="B88" s="134" t="n"/>
      <c r="C88" s="137" t="n"/>
      <c r="D88" s="137" t="n"/>
      <c r="E88" s="134" t="n"/>
      <c r="F88" s="134" t="n"/>
      <c r="G88" s="134" t="n"/>
    </row>
    <row r="89">
      <c r="A89" s="80" t="n"/>
      <c r="B89" s="132" t="n"/>
      <c r="C89" s="132" t="n"/>
      <c r="D89" s="132" t="n"/>
      <c r="E89" s="132" t="n"/>
      <c r="F89" s="132" t="n"/>
      <c r="G89" s="132" t="n"/>
    </row>
    <row r="90">
      <c r="A90" s="70" t="n"/>
      <c r="B90" s="134" t="n"/>
      <c r="C90" s="137" t="n"/>
      <c r="D90" s="137" t="n"/>
      <c r="E90" s="134" t="n"/>
      <c r="F90" s="134" t="n"/>
      <c r="G90" s="134" t="n"/>
    </row>
    <row r="91">
      <c r="A91" s="80" t="n"/>
      <c r="B91" s="132" t="n"/>
      <c r="C91" s="132" t="n"/>
      <c r="D91" s="132" t="n"/>
      <c r="E91" s="132" t="n"/>
      <c r="F91" s="132" t="n"/>
      <c r="G91" s="132" t="n"/>
    </row>
    <row r="92">
      <c r="A92" s="80" t="n"/>
      <c r="B92" s="132" t="n"/>
      <c r="C92" s="132" t="n"/>
      <c r="D92" s="132" t="n"/>
      <c r="E92" s="132" t="n"/>
      <c r="F92" s="132" t="n"/>
      <c r="G92" s="132" t="n"/>
    </row>
    <row r="93">
      <c r="A93" s="80" t="n"/>
      <c r="B93" s="132" t="n"/>
      <c r="C93" s="132" t="n"/>
      <c r="D93" s="132" t="n"/>
      <c r="E93" s="132" t="n"/>
      <c r="F93" s="132" t="n"/>
      <c r="G93" s="132" t="n"/>
    </row>
    <row r="94">
      <c r="A94" s="80" t="n"/>
      <c r="B94" s="132" t="n"/>
      <c r="C94" s="132" t="n"/>
      <c r="D94" s="132" t="n"/>
      <c r="E94" s="132" t="n"/>
      <c r="F94" s="132" t="n"/>
      <c r="G94" s="132" t="n"/>
    </row>
    <row r="95">
      <c r="A95" s="80" t="n"/>
      <c r="B95" s="132" t="n"/>
      <c r="C95" s="132" t="n"/>
      <c r="D95" s="132" t="n"/>
      <c r="E95" s="132" t="n"/>
      <c r="F95" s="132" t="n"/>
      <c r="G95" s="132" t="n"/>
    </row>
    <row r="96">
      <c r="A96" s="80" t="n"/>
      <c r="B96" s="132" t="n"/>
      <c r="C96" s="132" t="n"/>
      <c r="D96" s="132" t="n"/>
      <c r="E96" s="132" t="n"/>
      <c r="F96" s="132" t="n"/>
      <c r="G96" s="132" t="n"/>
    </row>
    <row r="97">
      <c r="A97" s="80" t="n"/>
      <c r="B97" s="132" t="n"/>
      <c r="C97" s="132" t="n"/>
      <c r="D97" s="132" t="n"/>
      <c r="E97" s="132" t="n"/>
      <c r="F97" s="132" t="n"/>
      <c r="G97" s="132" t="n"/>
    </row>
    <row r="98">
      <c r="A98" s="80" t="n"/>
      <c r="B98" s="132" t="n"/>
      <c r="C98" s="99" t="inlineStr">
        <is>
          <t>PLEASE CREATE THE BURNDOWN CHART ON A NEW TAB USING THE DATA FROM THIS TAB</t>
        </is>
      </c>
      <c r="D98" s="132" t="n"/>
      <c r="E98" s="132" t="n"/>
      <c r="F98" s="132" t="n"/>
      <c r="G98" s="132" t="n"/>
    </row>
    <row r="99">
      <c r="A99" s="80" t="n"/>
      <c r="B99" s="132" t="n"/>
      <c r="C99" s="132" t="n"/>
      <c r="D99" s="132" t="n"/>
      <c r="E99" s="132" t="n"/>
      <c r="F99" s="132" t="n"/>
      <c r="G99" s="132" t="n"/>
    </row>
    <row r="100">
      <c r="A100" s="80" t="n"/>
      <c r="B100" s="132" t="n"/>
      <c r="C100" s="132" t="n"/>
      <c r="D100" s="132" t="n"/>
      <c r="E100" s="132" t="n"/>
      <c r="F100" s="132" t="n"/>
      <c r="G100" s="132" t="n"/>
    </row>
    <row r="101">
      <c r="A101" s="80" t="n"/>
      <c r="B101" s="132" t="n"/>
      <c r="C101" s="132" t="n"/>
      <c r="D101" s="132" t="n"/>
      <c r="E101" s="132" t="n"/>
      <c r="F101" s="132" t="n"/>
      <c r="G101" s="132" t="n"/>
    </row>
    <row r="102">
      <c r="A102" s="80" t="n"/>
      <c r="B102" s="132" t="n"/>
      <c r="C102" s="132" t="n"/>
      <c r="D102" s="132" t="n"/>
      <c r="E102" s="132" t="n"/>
      <c r="F102" s="132" t="n"/>
      <c r="G102" s="132" t="n"/>
    </row>
    <row r="103">
      <c r="A103" s="80" t="n"/>
      <c r="B103" s="132" t="n"/>
      <c r="C103" s="132" t="n"/>
      <c r="D103" s="132" t="n"/>
      <c r="E103" s="132" t="n"/>
      <c r="F103" s="132" t="n"/>
      <c r="G103" s="132" t="n"/>
    </row>
    <row r="104">
      <c r="A104" s="80" t="n"/>
      <c r="B104" s="132" t="n"/>
      <c r="C104" s="132" t="n"/>
      <c r="D104" s="132" t="n"/>
      <c r="E104" s="132" t="n"/>
      <c r="F104" s="132" t="n"/>
      <c r="G104" s="132" t="n"/>
    </row>
    <row r="105">
      <c r="A105" s="80" t="n"/>
      <c r="B105" s="132" t="n"/>
      <c r="C105" s="132" t="n"/>
      <c r="D105" s="132" t="n"/>
      <c r="E105" s="132" t="n"/>
      <c r="F105" s="132" t="n"/>
      <c r="G105" s="132" t="n"/>
    </row>
    <row r="106">
      <c r="A106" s="80" t="n"/>
      <c r="B106" s="132" t="n"/>
      <c r="C106" s="132" t="n"/>
      <c r="D106" s="132" t="n"/>
      <c r="E106" s="132" t="n"/>
      <c r="F106" s="132" t="n"/>
      <c r="G106" s="132" t="n"/>
    </row>
    <row r="107">
      <c r="A107" s="80" t="n"/>
      <c r="B107" s="132" t="n"/>
      <c r="C107" s="132" t="n"/>
      <c r="D107" s="132" t="n"/>
      <c r="E107" s="132" t="n"/>
      <c r="F107" s="132" t="n"/>
      <c r="G107" s="132" t="n"/>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39" min="1" max="1"/>
    <col width="40.13" customWidth="1" style="139" min="2" max="2"/>
    <col width="36.75" customWidth="1" style="139" min="3" max="3"/>
    <col width="46.13" customWidth="1" style="139" min="4" max="4"/>
  </cols>
  <sheetData>
    <row r="1">
      <c r="A1" s="100" t="inlineStr">
        <is>
          <t>#</t>
        </is>
      </c>
      <c r="B1" s="101" t="inlineStr">
        <is>
          <t>Feature Definition of Done</t>
        </is>
      </c>
      <c r="C1" s="101" t="inlineStr">
        <is>
          <t>Sprint Release Definition of Done</t>
        </is>
      </c>
      <c r="D1" s="101" t="inlineStr">
        <is>
          <t>Project Release Definition of Done</t>
        </is>
      </c>
    </row>
    <row r="2">
      <c r="A2" s="35" t="n"/>
      <c r="B2" s="35" t="inlineStr">
        <is>
          <t>General coding standards are met (eg. Formatting, Comments, Logging, no API-Keys in Repo)</t>
        </is>
      </c>
      <c r="C2" s="35" t="n"/>
      <c r="D2" s="35" t="n"/>
    </row>
    <row r="3">
      <c r="A3" s="35" t="n"/>
      <c r="B3" s="35" t="inlineStr">
        <is>
          <t>Every PR is peer-reviewed by at least one other developer</t>
        </is>
      </c>
      <c r="C3" s="35" t="n"/>
      <c r="D3" s="35" t="n"/>
    </row>
    <row r="4">
      <c r="A4" s="35" t="n"/>
      <c r="B4" s="35" t="inlineStr">
        <is>
          <t>Documentation is updated (eg. System Architecture, SBOM)</t>
        </is>
      </c>
      <c r="C4" s="35" t="n"/>
      <c r="D4" s="35" t="n"/>
    </row>
    <row r="5">
      <c r="A5" s="35" t="n"/>
      <c r="B5" s="35" t="inlineStr">
        <is>
          <t>Unit tests for new features have been written</t>
        </is>
      </c>
      <c r="C5" s="35" t="n"/>
      <c r="D5" s="35" t="n"/>
    </row>
    <row r="6">
      <c r="A6" s="35" t="n"/>
      <c r="B6" s="35" t="n"/>
      <c r="C6" s="35" t="inlineStr">
        <is>
          <t>A release candidate representing a functional and verifiable increment over the previous sprint is tagged</t>
        </is>
      </c>
      <c r="D6" s="35" t="n"/>
    </row>
    <row r="7">
      <c r="A7" s="35" t="n"/>
      <c r="B7" s="35" t="n"/>
      <c r="C7" s="35" t="inlineStr">
        <is>
          <t>Existing features must remain operational and unaffected by the new changes</t>
        </is>
      </c>
      <c r="D7" s="35" t="n"/>
    </row>
    <row r="8">
      <c r="A8" s="35" t="n"/>
      <c r="B8" s="35" t="n"/>
      <c r="C8" s="35" t="inlineStr">
        <is>
          <t>Sprint release changelog have been written</t>
        </is>
      </c>
    </row>
    <row r="9">
      <c r="A9" s="35" t="n"/>
      <c r="B9" s="35" t="n"/>
      <c r="C9" s="35" t="n"/>
      <c r="D9" s="35" t="inlineStr">
        <is>
          <t>The system can be built and started from a clean repository checkout</t>
        </is>
      </c>
    </row>
    <row r="10">
      <c r="A10" s="35" t="n"/>
      <c r="B10" s="35" t="n"/>
      <c r="C10" s="35" t="n"/>
      <c r="D10" s="35" t="inlineStr">
        <is>
          <t>Core workflows are fully integrated and demonstrable end-to-end</t>
        </is>
      </c>
    </row>
    <row r="11">
      <c r="A11" s="35" t="n"/>
      <c r="B11" s="35" t="n"/>
      <c r="C11" s="35" t="n"/>
      <c r="D11" s="35" t="inlineStr">
        <is>
          <t>All major components are integrated and operational</t>
        </is>
      </c>
    </row>
    <row r="12">
      <c r="A12" s="35" t="n"/>
      <c r="B12" s="35" t="n"/>
      <c r="C12" s="35" t="n"/>
      <c r="D12" s="35" t="inlineStr">
        <is>
          <t>No critical or blocker defects remain open</t>
        </is>
      </c>
    </row>
    <row r="13">
      <c r="A13" s="35" t="n"/>
      <c r="B13" s="35" t="n"/>
      <c r="C13" s="35" t="n"/>
      <c r="D13" s="35" t="inlineStr">
        <is>
          <t>Architecture and technical documentation are finalized and updated</t>
        </is>
      </c>
    </row>
    <row r="14">
      <c r="A14" s="35" t="n"/>
      <c r="B14" s="35" t="n"/>
      <c r="C14" s="35" t="n"/>
      <c r="D14" s="35" t="inlineStr">
        <is>
          <t>SBOM and required project documentation are completed</t>
        </is>
      </c>
    </row>
    <row r="15">
      <c r="A15" s="35" t="n"/>
      <c r="B15" s="35" t="n"/>
      <c r="C15" s="35" t="n"/>
      <c r="D15" s="35" t="inlineStr">
        <is>
          <t>CI/CD pipeline passes successfully for the release version</t>
        </is>
      </c>
    </row>
    <row r="16">
      <c r="A16" s="35" t="n"/>
      <c r="B16" s="35" t="n"/>
      <c r="C16" s="35" t="n"/>
      <c r="D16" s="35" t="inlineStr">
        <is>
          <t>Release version is tagged and reproducible</t>
        </is>
      </c>
    </row>
    <row r="17">
      <c r="A17" s="35" t="n"/>
      <c r="B17" s="35" t="n"/>
      <c r="C17" s="35" t="n"/>
      <c r="D17" s="35" t="inlineStr">
        <is>
          <t>Build and deployment instructions are documented and verified</t>
        </is>
      </c>
    </row>
    <row r="18">
      <c r="A18" s="35" t="n"/>
      <c r="B18" s="35" t="n"/>
      <c r="C18" s="35" t="n"/>
      <c r="D18" s="35" t="inlineStr">
        <is>
          <t>Source code, documentation, and deliverables are submitted</t>
        </is>
      </c>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39" min="1" max="1"/>
    <col width="100.13" customWidth="1" style="139" min="2" max="2"/>
  </cols>
  <sheetData>
    <row r="1">
      <c r="A1" s="40" t="inlineStr">
        <is>
          <t>Type</t>
        </is>
      </c>
      <c r="B1" s="40" t="inlineStr">
        <is>
          <t>Link / reference</t>
        </is>
      </c>
    </row>
    <row r="2">
      <c r="A2" s="35" t="inlineStr">
        <is>
          <t>Team Logo (SVG + PNG)</t>
        </is>
      </c>
      <c r="B2" s="8" t="inlineStr">
        <is>
          <t>https://github.com/amosproj/amos2026ss04-taskorbit-conversational-agent/blob/feature/team-logo-design/Deliverables/sprint-01/team-logo.png</t>
        </is>
      </c>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hyperlinks>
    <hyperlink xmlns:r="http://schemas.openxmlformats.org/officeDocument/2006/relationships" ref="B2" r:id="rId1"/>
  </hyperlinks>
  <pageMargins left="0.75" right="0.75" top="1" bottom="1" header="0.5" footer="0.5"/>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0" summaryRight="0"/>
    <pageSetUpPr/>
  </sheetPr>
  <dimension ref="A1:F246"/>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39" min="1" max="1"/>
    <col width="25.13" customWidth="1" style="139" min="2" max="2"/>
    <col width="37.63" customWidth="1" style="139" min="3" max="3"/>
    <col width="9.5" customWidth="1" style="139" min="4" max="4"/>
    <col width="12.63" customWidth="1" style="139" min="5" max="5"/>
    <col width="37.63" customWidth="1" style="139" min="6" max="6"/>
  </cols>
  <sheetData>
    <row r="1">
      <c r="A1" s="13" t="inlineStr">
        <is>
          <t>#</t>
        </is>
      </c>
      <c r="B1" s="40" t="inlineStr">
        <is>
          <t>Context</t>
        </is>
      </c>
      <c r="C1" s="40" t="inlineStr">
        <is>
          <t>Name</t>
        </is>
      </c>
      <c r="D1" s="40" t="inlineStr">
        <is>
          <t>Version</t>
        </is>
      </c>
      <c r="E1" s="40" t="inlineStr">
        <is>
          <t>License</t>
        </is>
      </c>
      <c r="F1" s="40" t="inlineStr">
        <is>
          <t>Comment</t>
        </is>
      </c>
    </row>
    <row r="2">
      <c r="A2" t="n">
        <v>1</v>
      </c>
      <c r="B2" t="inlineStr">
        <is>
          <t>npm</t>
        </is>
      </c>
      <c r="C2" t="inlineStr">
        <is>
          <t>@bufbuild/protobuf</t>
        </is>
      </c>
      <c r="D2" t="inlineStr">
        <is>
          <t>1.10.1</t>
        </is>
      </c>
      <c r="E2" t="inlineStr">
        <is>
          <t>UNKNOWN</t>
        </is>
      </c>
      <c r="F2" t="inlineStr">
        <is>
          <t>Syft scan (2026-07-02T06:42:43Z)</t>
        </is>
      </c>
    </row>
    <row r="3">
      <c r="A3" t="n">
        <v>2</v>
      </c>
      <c r="B3" t="inlineStr">
        <is>
          <t>npm</t>
        </is>
      </c>
      <c r="C3" t="inlineStr">
        <is>
          <t>@floating-ui/core</t>
        </is>
      </c>
      <c r="D3" t="inlineStr">
        <is>
          <t>1.7.5</t>
        </is>
      </c>
      <c r="E3" t="inlineStr">
        <is>
          <t>MIT</t>
        </is>
      </c>
      <c r="F3" t="inlineStr">
        <is>
          <t>Syft scan (2026-07-02T06:42:43Z)</t>
        </is>
      </c>
    </row>
    <row r="4">
      <c r="A4" t="n">
        <v>3</v>
      </c>
      <c r="B4" t="inlineStr">
        <is>
          <t>npm</t>
        </is>
      </c>
      <c r="C4" t="inlineStr">
        <is>
          <t>@floating-ui/dom</t>
        </is>
      </c>
      <c r="D4" t="inlineStr">
        <is>
          <t>1.7.4</t>
        </is>
      </c>
      <c r="E4" t="inlineStr">
        <is>
          <t>MIT</t>
        </is>
      </c>
      <c r="F4" t="inlineStr">
        <is>
          <t>Syft scan (2026-07-02T06:42:43Z)</t>
        </is>
      </c>
    </row>
    <row r="5">
      <c r="A5" t="n">
        <v>4</v>
      </c>
      <c r="B5" t="inlineStr">
        <is>
          <t>npm</t>
        </is>
      </c>
      <c r="C5" t="inlineStr">
        <is>
          <t>@floating-ui/dom</t>
        </is>
      </c>
      <c r="D5" t="inlineStr">
        <is>
          <t>1.7.6</t>
        </is>
      </c>
      <c r="E5" t="inlineStr">
        <is>
          <t>MIT</t>
        </is>
      </c>
      <c r="F5" t="inlineStr">
        <is>
          <t>Syft scan (2026-07-02T06:42:43Z)</t>
        </is>
      </c>
    </row>
    <row r="6">
      <c r="A6" t="n">
        <v>5</v>
      </c>
      <c r="B6" t="inlineStr">
        <is>
          <t>npm</t>
        </is>
      </c>
      <c r="C6" t="inlineStr">
        <is>
          <t>@floating-ui/react-dom</t>
        </is>
      </c>
      <c r="D6" t="inlineStr">
        <is>
          <t>2.1.8</t>
        </is>
      </c>
      <c r="E6" t="inlineStr">
        <is>
          <t>MIT</t>
        </is>
      </c>
      <c r="F6" t="inlineStr">
        <is>
          <t>Syft scan (2026-07-02T06:42:43Z)</t>
        </is>
      </c>
    </row>
    <row r="7">
      <c r="A7" t="n">
        <v>6</v>
      </c>
      <c r="B7" t="inlineStr">
        <is>
          <t>npm</t>
        </is>
      </c>
      <c r="C7" t="inlineStr">
        <is>
          <t>@floating-ui/utils</t>
        </is>
      </c>
      <c r="D7" t="inlineStr">
        <is>
          <t>0.2.11</t>
        </is>
      </c>
      <c r="E7" t="inlineStr">
        <is>
          <t>MIT</t>
        </is>
      </c>
      <c r="F7" t="inlineStr">
        <is>
          <t>Syft scan (2026-07-02T06:42:43Z)</t>
        </is>
      </c>
    </row>
    <row r="8">
      <c r="A8" t="n">
        <v>7</v>
      </c>
      <c r="B8" t="inlineStr">
        <is>
          <t>npm</t>
        </is>
      </c>
      <c r="C8" t="inlineStr">
        <is>
          <t>@livekit/components-core</t>
        </is>
      </c>
      <c r="D8" t="inlineStr">
        <is>
          <t>0.12.13</t>
        </is>
      </c>
      <c r="E8" t="inlineStr">
        <is>
          <t>Apache-2.0</t>
        </is>
      </c>
      <c r="F8" t="inlineStr">
        <is>
          <t>Syft scan (2026-07-02T06:42:43Z)</t>
        </is>
      </c>
    </row>
    <row r="9">
      <c r="A9" t="n">
        <v>8</v>
      </c>
      <c r="B9" t="inlineStr">
        <is>
          <t>npm</t>
        </is>
      </c>
      <c r="C9" t="inlineStr">
        <is>
          <t>@livekit/components-react</t>
        </is>
      </c>
      <c r="D9" t="inlineStr">
        <is>
          <t>2.9.20</t>
        </is>
      </c>
      <c r="E9" t="inlineStr">
        <is>
          <t>Apache-2.0</t>
        </is>
      </c>
      <c r="F9" t="inlineStr">
        <is>
          <t>Syft scan (2026-07-02T06:42:43Z)</t>
        </is>
      </c>
    </row>
    <row r="10">
      <c r="A10" t="n">
        <v>9</v>
      </c>
      <c r="B10" t="inlineStr">
        <is>
          <t>npm</t>
        </is>
      </c>
      <c r="C10" t="inlineStr">
        <is>
          <t>@livekit/components-styles</t>
        </is>
      </c>
      <c r="D10" t="inlineStr">
        <is>
          <t>1.2.0</t>
        </is>
      </c>
      <c r="E10" t="inlineStr">
        <is>
          <t>Apache-2.0</t>
        </is>
      </c>
      <c r="F10" t="inlineStr">
        <is>
          <t>Syft scan (2026-07-02T06:42:43Z)</t>
        </is>
      </c>
    </row>
    <row r="11">
      <c r="A11" t="n">
        <v>10</v>
      </c>
      <c r="B11" t="inlineStr">
        <is>
          <t>npm</t>
        </is>
      </c>
      <c r="C11" t="inlineStr">
        <is>
          <t>@livekit/mutex</t>
        </is>
      </c>
      <c r="D11" t="inlineStr">
        <is>
          <t>1.1.1</t>
        </is>
      </c>
      <c r="E11" t="inlineStr">
        <is>
          <t>Apache-2.0</t>
        </is>
      </c>
      <c r="F11" t="inlineStr">
        <is>
          <t>Syft scan (2026-07-02T06:42:43Z)</t>
        </is>
      </c>
    </row>
    <row r="12">
      <c r="A12" t="n">
        <v>11</v>
      </c>
      <c r="B12" t="inlineStr">
        <is>
          <t>npm</t>
        </is>
      </c>
      <c r="C12" t="inlineStr">
        <is>
          <t>@livekit/protocol</t>
        </is>
      </c>
      <c r="D12" t="inlineStr">
        <is>
          <t>1.45.3</t>
        </is>
      </c>
      <c r="E12" t="inlineStr">
        <is>
          <t>Apache-2.0</t>
        </is>
      </c>
      <c r="F12" t="inlineStr">
        <is>
          <t>Syft scan (2026-07-02T06:42:43Z)</t>
        </is>
      </c>
    </row>
    <row r="13">
      <c r="A13" t="n">
        <v>12</v>
      </c>
      <c r="B13" t="inlineStr">
        <is>
          <t>npm</t>
        </is>
      </c>
      <c r="C13" t="inlineStr">
        <is>
          <t>@radix-ui/number</t>
        </is>
      </c>
      <c r="D13" t="inlineStr">
        <is>
          <t>1.1.1</t>
        </is>
      </c>
      <c r="E13" t="inlineStr">
        <is>
          <t>MIT</t>
        </is>
      </c>
      <c r="F13" t="inlineStr">
        <is>
          <t>Syft scan (2026-07-02T06:42:43Z)</t>
        </is>
      </c>
    </row>
    <row r="14">
      <c r="A14" t="n">
        <v>13</v>
      </c>
      <c r="B14" t="inlineStr">
        <is>
          <t>npm</t>
        </is>
      </c>
      <c r="C14" t="inlineStr">
        <is>
          <t>@radix-ui/primitive</t>
        </is>
      </c>
      <c r="D14" t="inlineStr">
        <is>
          <t>1.1.3</t>
        </is>
      </c>
      <c r="E14" t="inlineStr">
        <is>
          <t>MIT</t>
        </is>
      </c>
      <c r="F14" t="inlineStr">
        <is>
          <t>Syft scan (2026-07-02T06:42:43Z)</t>
        </is>
      </c>
    </row>
    <row r="15">
      <c r="A15" t="n">
        <v>14</v>
      </c>
      <c r="B15" t="inlineStr">
        <is>
          <t>npm</t>
        </is>
      </c>
      <c r="C15" t="inlineStr">
        <is>
          <t>@radix-ui/react-accessible-icon</t>
        </is>
      </c>
      <c r="D15" t="inlineStr">
        <is>
          <t>1.1.7</t>
        </is>
      </c>
      <c r="E15" t="inlineStr">
        <is>
          <t>MIT</t>
        </is>
      </c>
      <c r="F15" t="inlineStr">
        <is>
          <t>Syft scan (2026-07-02T06:42:43Z)</t>
        </is>
      </c>
    </row>
    <row r="16">
      <c r="A16" t="n">
        <v>15</v>
      </c>
      <c r="B16" t="inlineStr">
        <is>
          <t>npm</t>
        </is>
      </c>
      <c r="C16" t="inlineStr">
        <is>
          <t>@radix-ui/react-accordion</t>
        </is>
      </c>
      <c r="D16" t="inlineStr">
        <is>
          <t>1.2.12</t>
        </is>
      </c>
      <c r="E16" t="inlineStr">
        <is>
          <t>MIT</t>
        </is>
      </c>
      <c r="F16" t="inlineStr">
        <is>
          <t>Syft scan (2026-07-02T06:42:43Z)</t>
        </is>
      </c>
    </row>
    <row r="17">
      <c r="A17" t="n">
        <v>16</v>
      </c>
      <c r="B17" t="inlineStr">
        <is>
          <t>npm</t>
        </is>
      </c>
      <c r="C17" t="inlineStr">
        <is>
          <t>@radix-ui/react-alert-dialog</t>
        </is>
      </c>
      <c r="D17" t="inlineStr">
        <is>
          <t>1.1.15</t>
        </is>
      </c>
      <c r="E17" t="inlineStr">
        <is>
          <t>MIT</t>
        </is>
      </c>
      <c r="F17" t="inlineStr">
        <is>
          <t>Syft scan (2026-07-02T06:42:43Z)</t>
        </is>
      </c>
    </row>
    <row r="18">
      <c r="A18" t="n">
        <v>17</v>
      </c>
      <c r="B18" t="inlineStr">
        <is>
          <t>npm</t>
        </is>
      </c>
      <c r="C18" t="inlineStr">
        <is>
          <t>@radix-ui/react-arrow</t>
        </is>
      </c>
      <c r="D18" t="inlineStr">
        <is>
          <t>1.1.7</t>
        </is>
      </c>
      <c r="E18" t="inlineStr">
        <is>
          <t>MIT</t>
        </is>
      </c>
      <c r="F18" t="inlineStr">
        <is>
          <t>Syft scan (2026-07-02T06:42:43Z)</t>
        </is>
      </c>
    </row>
    <row r="19">
      <c r="A19" t="n">
        <v>18</v>
      </c>
      <c r="B19" t="inlineStr">
        <is>
          <t>npm</t>
        </is>
      </c>
      <c r="C19" t="inlineStr">
        <is>
          <t>@radix-ui/react-aspect-ratio</t>
        </is>
      </c>
      <c r="D19" t="inlineStr">
        <is>
          <t>1.1.7</t>
        </is>
      </c>
      <c r="E19" t="inlineStr">
        <is>
          <t>MIT</t>
        </is>
      </c>
      <c r="F19" t="inlineStr">
        <is>
          <t>Syft scan (2026-07-02T06:42:43Z)</t>
        </is>
      </c>
    </row>
    <row r="20">
      <c r="A20" t="n">
        <v>19</v>
      </c>
      <c r="B20" t="inlineStr">
        <is>
          <t>npm</t>
        </is>
      </c>
      <c r="C20" t="inlineStr">
        <is>
          <t>@radix-ui/react-avatar</t>
        </is>
      </c>
      <c r="D20" t="inlineStr">
        <is>
          <t>1.1.10</t>
        </is>
      </c>
      <c r="E20" t="inlineStr">
        <is>
          <t>MIT</t>
        </is>
      </c>
      <c r="F20" t="inlineStr">
        <is>
          <t>Syft scan (2026-07-02T06:42:43Z)</t>
        </is>
      </c>
    </row>
    <row r="21">
      <c r="A21" t="n">
        <v>20</v>
      </c>
      <c r="B21" t="inlineStr">
        <is>
          <t>npm</t>
        </is>
      </c>
      <c r="C21" t="inlineStr">
        <is>
          <t>@radix-ui/react-checkbox</t>
        </is>
      </c>
      <c r="D21" t="inlineStr">
        <is>
          <t>1.3.3</t>
        </is>
      </c>
      <c r="E21" t="inlineStr">
        <is>
          <t>MIT</t>
        </is>
      </c>
      <c r="F21" t="inlineStr">
        <is>
          <t>Syft scan (2026-07-02T06:42:43Z)</t>
        </is>
      </c>
    </row>
    <row r="22">
      <c r="A22" t="n">
        <v>21</v>
      </c>
      <c r="B22" t="inlineStr">
        <is>
          <t>npm</t>
        </is>
      </c>
      <c r="C22" t="inlineStr">
        <is>
          <t>@radix-ui/react-collapsible</t>
        </is>
      </c>
      <c r="D22" t="inlineStr">
        <is>
          <t>1.1.12</t>
        </is>
      </c>
      <c r="E22" t="inlineStr">
        <is>
          <t>MIT</t>
        </is>
      </c>
      <c r="F22" t="inlineStr">
        <is>
          <t>Syft scan (2026-07-02T06:42:43Z)</t>
        </is>
      </c>
    </row>
    <row r="23">
      <c r="A23" t="n">
        <v>22</v>
      </c>
      <c r="B23" t="inlineStr">
        <is>
          <t>npm</t>
        </is>
      </c>
      <c r="C23" t="inlineStr">
        <is>
          <t>@radix-ui/react-collection</t>
        </is>
      </c>
      <c r="D23" t="inlineStr">
        <is>
          <t>1.1.7</t>
        </is>
      </c>
      <c r="E23" t="inlineStr">
        <is>
          <t>MIT</t>
        </is>
      </c>
      <c r="F23" t="inlineStr">
        <is>
          <t>Syft scan (2026-07-02T06:42:43Z)</t>
        </is>
      </c>
    </row>
    <row r="24">
      <c r="A24" t="n">
        <v>23</v>
      </c>
      <c r="B24" t="inlineStr">
        <is>
          <t>npm</t>
        </is>
      </c>
      <c r="C24" t="inlineStr">
        <is>
          <t>@radix-ui/react-compose-refs</t>
        </is>
      </c>
      <c r="D24" t="inlineStr">
        <is>
          <t>1.1.2</t>
        </is>
      </c>
      <c r="E24" t="inlineStr">
        <is>
          <t>MIT</t>
        </is>
      </c>
      <c r="F24" t="inlineStr">
        <is>
          <t>Syft scan (2026-07-02T06:42:43Z)</t>
        </is>
      </c>
    </row>
    <row r="25">
      <c r="A25" t="n">
        <v>24</v>
      </c>
      <c r="B25" t="inlineStr">
        <is>
          <t>npm</t>
        </is>
      </c>
      <c r="C25" t="inlineStr">
        <is>
          <t>@radix-ui/react-context</t>
        </is>
      </c>
      <c r="D25" t="inlineStr">
        <is>
          <t>1.1.2</t>
        </is>
      </c>
      <c r="E25" t="inlineStr">
        <is>
          <t>MIT</t>
        </is>
      </c>
      <c r="F25" t="inlineStr">
        <is>
          <t>Syft scan (2026-07-02T06:42:43Z)</t>
        </is>
      </c>
    </row>
    <row r="26">
      <c r="A26" t="n">
        <v>25</v>
      </c>
      <c r="B26" t="inlineStr">
        <is>
          <t>npm</t>
        </is>
      </c>
      <c r="C26" t="inlineStr">
        <is>
          <t>@radix-ui/react-context-menu</t>
        </is>
      </c>
      <c r="D26" t="inlineStr">
        <is>
          <t>2.2.16</t>
        </is>
      </c>
      <c r="E26" t="inlineStr">
        <is>
          <t>MIT</t>
        </is>
      </c>
      <c r="F26" t="inlineStr">
        <is>
          <t>Syft scan (2026-07-02T06:42:43Z)</t>
        </is>
      </c>
    </row>
    <row r="27">
      <c r="A27" t="n">
        <v>26</v>
      </c>
      <c r="B27" t="inlineStr">
        <is>
          <t>npm</t>
        </is>
      </c>
      <c r="C27" t="inlineStr">
        <is>
          <t>@radix-ui/react-dialog</t>
        </is>
      </c>
      <c r="D27" t="inlineStr">
        <is>
          <t>1.1.15</t>
        </is>
      </c>
      <c r="E27" t="inlineStr">
        <is>
          <t>MIT</t>
        </is>
      </c>
      <c r="F27" t="inlineStr">
        <is>
          <t>Syft scan (2026-07-02T06:42:43Z)</t>
        </is>
      </c>
    </row>
    <row r="28">
      <c r="A28" t="n">
        <v>27</v>
      </c>
      <c r="B28" t="inlineStr">
        <is>
          <t>npm</t>
        </is>
      </c>
      <c r="C28" t="inlineStr">
        <is>
          <t>@radix-ui/react-direction</t>
        </is>
      </c>
      <c r="D28" t="inlineStr">
        <is>
          <t>1.1.1</t>
        </is>
      </c>
      <c r="E28" t="inlineStr">
        <is>
          <t>MIT</t>
        </is>
      </c>
      <c r="F28" t="inlineStr">
        <is>
          <t>Syft scan (2026-07-02T06:42:43Z)</t>
        </is>
      </c>
    </row>
    <row r="29">
      <c r="A29" t="n">
        <v>28</v>
      </c>
      <c r="B29" t="inlineStr">
        <is>
          <t>npm</t>
        </is>
      </c>
      <c r="C29" t="inlineStr">
        <is>
          <t>@radix-ui/react-dismissable-layer</t>
        </is>
      </c>
      <c r="D29" t="inlineStr">
        <is>
          <t>1.1.11</t>
        </is>
      </c>
      <c r="E29" t="inlineStr">
        <is>
          <t>MIT</t>
        </is>
      </c>
      <c r="F29" t="inlineStr">
        <is>
          <t>Syft scan (2026-07-02T06:42:43Z)</t>
        </is>
      </c>
    </row>
    <row r="30">
      <c r="A30" t="n">
        <v>29</v>
      </c>
      <c r="B30" t="inlineStr">
        <is>
          <t>npm</t>
        </is>
      </c>
      <c r="C30" t="inlineStr">
        <is>
          <t>@radix-ui/react-dropdown-menu</t>
        </is>
      </c>
      <c r="D30" t="inlineStr">
        <is>
          <t>2.1.16</t>
        </is>
      </c>
      <c r="E30" t="inlineStr">
        <is>
          <t>MIT</t>
        </is>
      </c>
      <c r="F30" t="inlineStr">
        <is>
          <t>Syft scan (2026-07-02T06:42:43Z)</t>
        </is>
      </c>
    </row>
    <row r="31">
      <c r="A31" t="n">
        <v>30</v>
      </c>
      <c r="B31" t="inlineStr">
        <is>
          <t>npm</t>
        </is>
      </c>
      <c r="C31" t="inlineStr">
        <is>
          <t>@radix-ui/react-focus-guards</t>
        </is>
      </c>
      <c r="D31" t="inlineStr">
        <is>
          <t>1.1.3</t>
        </is>
      </c>
      <c r="E31" t="inlineStr">
        <is>
          <t>MIT</t>
        </is>
      </c>
      <c r="F31" t="inlineStr">
        <is>
          <t>Syft scan (2026-07-02T06:42:43Z)</t>
        </is>
      </c>
    </row>
    <row r="32">
      <c r="A32" t="n">
        <v>31</v>
      </c>
      <c r="B32" t="inlineStr">
        <is>
          <t>npm</t>
        </is>
      </c>
      <c r="C32" t="inlineStr">
        <is>
          <t>@radix-ui/react-focus-scope</t>
        </is>
      </c>
      <c r="D32" t="inlineStr">
        <is>
          <t>1.1.7</t>
        </is>
      </c>
      <c r="E32" t="inlineStr">
        <is>
          <t>MIT</t>
        </is>
      </c>
      <c r="F32" t="inlineStr">
        <is>
          <t>Syft scan (2026-07-02T06:42:43Z)</t>
        </is>
      </c>
    </row>
    <row r="33">
      <c r="A33" t="n">
        <v>32</v>
      </c>
      <c r="B33" t="inlineStr">
        <is>
          <t>npm</t>
        </is>
      </c>
      <c r="C33" t="inlineStr">
        <is>
          <t>@radix-ui/react-form</t>
        </is>
      </c>
      <c r="D33" t="inlineStr">
        <is>
          <t>0.1.8</t>
        </is>
      </c>
      <c r="E33" t="inlineStr">
        <is>
          <t>MIT</t>
        </is>
      </c>
      <c r="F33" t="inlineStr">
        <is>
          <t>Syft scan (2026-07-02T06:42:43Z)</t>
        </is>
      </c>
    </row>
    <row r="34">
      <c r="A34" t="n">
        <v>33</v>
      </c>
      <c r="B34" t="inlineStr">
        <is>
          <t>npm</t>
        </is>
      </c>
      <c r="C34" t="inlineStr">
        <is>
          <t>@radix-ui/react-hover-card</t>
        </is>
      </c>
      <c r="D34" t="inlineStr">
        <is>
          <t>1.1.15</t>
        </is>
      </c>
      <c r="E34" t="inlineStr">
        <is>
          <t>MIT</t>
        </is>
      </c>
      <c r="F34" t="inlineStr">
        <is>
          <t>Syft scan (2026-07-02T06:42:43Z)</t>
        </is>
      </c>
    </row>
    <row r="35">
      <c r="A35" t="n">
        <v>34</v>
      </c>
      <c r="B35" t="inlineStr">
        <is>
          <t>npm</t>
        </is>
      </c>
      <c r="C35" t="inlineStr">
        <is>
          <t>@radix-ui/react-id</t>
        </is>
      </c>
      <c r="D35" t="inlineStr">
        <is>
          <t>1.1.1</t>
        </is>
      </c>
      <c r="E35" t="inlineStr">
        <is>
          <t>MIT</t>
        </is>
      </c>
      <c r="F35" t="inlineStr">
        <is>
          <t>Syft scan (2026-07-02T06:42:43Z)</t>
        </is>
      </c>
    </row>
    <row r="36">
      <c r="A36" t="n">
        <v>35</v>
      </c>
      <c r="B36" t="inlineStr">
        <is>
          <t>npm</t>
        </is>
      </c>
      <c r="C36" t="inlineStr">
        <is>
          <t>@radix-ui/react-label</t>
        </is>
      </c>
      <c r="D36" t="inlineStr">
        <is>
          <t>2.1.7</t>
        </is>
      </c>
      <c r="E36" t="inlineStr">
        <is>
          <t>MIT</t>
        </is>
      </c>
      <c r="F36" t="inlineStr">
        <is>
          <t>Syft scan (2026-07-02T06:42:43Z)</t>
        </is>
      </c>
    </row>
    <row r="37">
      <c r="A37" t="n">
        <v>36</v>
      </c>
      <c r="B37" t="inlineStr">
        <is>
          <t>npm</t>
        </is>
      </c>
      <c r="C37" t="inlineStr">
        <is>
          <t>@radix-ui/react-menu</t>
        </is>
      </c>
      <c r="D37" t="inlineStr">
        <is>
          <t>2.1.16</t>
        </is>
      </c>
      <c r="E37" t="inlineStr">
        <is>
          <t>MIT</t>
        </is>
      </c>
      <c r="F37" t="inlineStr">
        <is>
          <t>Syft scan (2026-07-02T06:42:43Z)</t>
        </is>
      </c>
    </row>
    <row r="38">
      <c r="A38" t="n">
        <v>37</v>
      </c>
      <c r="B38" t="inlineStr">
        <is>
          <t>npm</t>
        </is>
      </c>
      <c r="C38" t="inlineStr">
        <is>
          <t>@radix-ui/react-menubar</t>
        </is>
      </c>
      <c r="D38" t="inlineStr">
        <is>
          <t>1.1.16</t>
        </is>
      </c>
      <c r="E38" t="inlineStr">
        <is>
          <t>MIT</t>
        </is>
      </c>
      <c r="F38" t="inlineStr">
        <is>
          <t>Syft scan (2026-07-02T06:42:43Z)</t>
        </is>
      </c>
    </row>
    <row r="39">
      <c r="A39" t="n">
        <v>38</v>
      </c>
      <c r="B39" t="inlineStr">
        <is>
          <t>npm</t>
        </is>
      </c>
      <c r="C39" t="inlineStr">
        <is>
          <t>@radix-ui/react-navigation-menu</t>
        </is>
      </c>
      <c r="D39" t="inlineStr">
        <is>
          <t>1.2.14</t>
        </is>
      </c>
      <c r="E39" t="inlineStr">
        <is>
          <t>MIT</t>
        </is>
      </c>
      <c r="F39" t="inlineStr">
        <is>
          <t>Syft scan (2026-07-02T06:42:43Z)</t>
        </is>
      </c>
    </row>
    <row r="40">
      <c r="A40" t="n">
        <v>39</v>
      </c>
      <c r="B40" t="inlineStr">
        <is>
          <t>npm</t>
        </is>
      </c>
      <c r="C40" t="inlineStr">
        <is>
          <t>@radix-ui/react-one-time-password-field</t>
        </is>
      </c>
      <c r="D40" t="inlineStr">
        <is>
          <t>0.1.8</t>
        </is>
      </c>
      <c r="E40" t="inlineStr">
        <is>
          <t>MIT</t>
        </is>
      </c>
      <c r="F40" t="inlineStr">
        <is>
          <t>Syft scan (2026-07-02T06:42:43Z)</t>
        </is>
      </c>
    </row>
    <row r="41">
      <c r="A41" t="n">
        <v>40</v>
      </c>
      <c r="B41" t="inlineStr">
        <is>
          <t>npm</t>
        </is>
      </c>
      <c r="C41" t="inlineStr">
        <is>
          <t>@radix-ui/react-password-toggle-field</t>
        </is>
      </c>
      <c r="D41" t="inlineStr">
        <is>
          <t>0.1.3</t>
        </is>
      </c>
      <c r="E41" t="inlineStr">
        <is>
          <t>MIT</t>
        </is>
      </c>
      <c r="F41" t="inlineStr">
        <is>
          <t>Syft scan (2026-07-02T06:42:43Z)</t>
        </is>
      </c>
    </row>
    <row r="42">
      <c r="A42" t="n">
        <v>41</v>
      </c>
      <c r="B42" t="inlineStr">
        <is>
          <t>npm</t>
        </is>
      </c>
      <c r="C42" t="inlineStr">
        <is>
          <t>@radix-ui/react-popover</t>
        </is>
      </c>
      <c r="D42" t="inlineStr">
        <is>
          <t>1.1.15</t>
        </is>
      </c>
      <c r="E42" t="inlineStr">
        <is>
          <t>MIT</t>
        </is>
      </c>
      <c r="F42" t="inlineStr">
        <is>
          <t>Syft scan (2026-07-02T06:42:43Z)</t>
        </is>
      </c>
    </row>
    <row r="43">
      <c r="A43" t="n">
        <v>42</v>
      </c>
      <c r="B43" t="inlineStr">
        <is>
          <t>npm</t>
        </is>
      </c>
      <c r="C43" t="inlineStr">
        <is>
          <t>@radix-ui/react-popper</t>
        </is>
      </c>
      <c r="D43" t="inlineStr">
        <is>
          <t>1.2.8</t>
        </is>
      </c>
      <c r="E43" t="inlineStr">
        <is>
          <t>MIT</t>
        </is>
      </c>
      <c r="F43" t="inlineStr">
        <is>
          <t>Syft scan (2026-07-02T06:42:43Z)</t>
        </is>
      </c>
    </row>
    <row r="44">
      <c r="A44" t="n">
        <v>43</v>
      </c>
      <c r="B44" t="inlineStr">
        <is>
          <t>npm</t>
        </is>
      </c>
      <c r="C44" t="inlineStr">
        <is>
          <t>@radix-ui/react-portal</t>
        </is>
      </c>
      <c r="D44" t="inlineStr">
        <is>
          <t>1.1.9</t>
        </is>
      </c>
      <c r="E44" t="inlineStr">
        <is>
          <t>MIT</t>
        </is>
      </c>
      <c r="F44" t="inlineStr">
        <is>
          <t>Syft scan (2026-07-02T06:42:43Z)</t>
        </is>
      </c>
    </row>
    <row r="45">
      <c r="A45" t="n">
        <v>44</v>
      </c>
      <c r="B45" t="inlineStr">
        <is>
          <t>npm</t>
        </is>
      </c>
      <c r="C45" t="inlineStr">
        <is>
          <t>@radix-ui/react-presence</t>
        </is>
      </c>
      <c r="D45" t="inlineStr">
        <is>
          <t>1.1.5</t>
        </is>
      </c>
      <c r="E45" t="inlineStr">
        <is>
          <t>MIT</t>
        </is>
      </c>
      <c r="F45" t="inlineStr">
        <is>
          <t>Syft scan (2026-07-02T06:42:43Z)</t>
        </is>
      </c>
    </row>
    <row r="46">
      <c r="A46" t="n">
        <v>45</v>
      </c>
      <c r="B46" t="inlineStr">
        <is>
          <t>npm</t>
        </is>
      </c>
      <c r="C46" t="inlineStr">
        <is>
          <t>@radix-ui/react-primitive</t>
        </is>
      </c>
      <c r="D46" t="inlineStr">
        <is>
          <t>2.1.3</t>
        </is>
      </c>
      <c r="E46" t="inlineStr">
        <is>
          <t>MIT</t>
        </is>
      </c>
      <c r="F46" t="inlineStr">
        <is>
          <t>Syft scan (2026-07-02T06:42:43Z)</t>
        </is>
      </c>
    </row>
    <row r="47">
      <c r="A47" t="n">
        <v>46</v>
      </c>
      <c r="B47" t="inlineStr">
        <is>
          <t>npm</t>
        </is>
      </c>
      <c r="C47" t="inlineStr">
        <is>
          <t>@radix-ui/react-progress</t>
        </is>
      </c>
      <c r="D47" t="inlineStr">
        <is>
          <t>1.1.7</t>
        </is>
      </c>
      <c r="E47" t="inlineStr">
        <is>
          <t>MIT</t>
        </is>
      </c>
      <c r="F47" t="inlineStr">
        <is>
          <t>Syft scan (2026-07-02T06:42:43Z)</t>
        </is>
      </c>
    </row>
    <row r="48">
      <c r="A48" t="n">
        <v>47</v>
      </c>
      <c r="B48" t="inlineStr">
        <is>
          <t>npm</t>
        </is>
      </c>
      <c r="C48" t="inlineStr">
        <is>
          <t>@radix-ui/react-radio-group</t>
        </is>
      </c>
      <c r="D48" t="inlineStr">
        <is>
          <t>1.3.8</t>
        </is>
      </c>
      <c r="E48" t="inlineStr">
        <is>
          <t>MIT</t>
        </is>
      </c>
      <c r="F48" t="inlineStr">
        <is>
          <t>Syft scan (2026-07-02T06:42:43Z)</t>
        </is>
      </c>
    </row>
    <row r="49">
      <c r="A49" t="n">
        <v>48</v>
      </c>
      <c r="B49" t="inlineStr">
        <is>
          <t>npm</t>
        </is>
      </c>
      <c r="C49" t="inlineStr">
        <is>
          <t>@radix-ui/react-roving-focus</t>
        </is>
      </c>
      <c r="D49" t="inlineStr">
        <is>
          <t>1.1.11</t>
        </is>
      </c>
      <c r="E49" t="inlineStr">
        <is>
          <t>MIT</t>
        </is>
      </c>
      <c r="F49" t="inlineStr">
        <is>
          <t>Syft scan (2026-07-02T06:42:43Z)</t>
        </is>
      </c>
    </row>
    <row r="50">
      <c r="A50" t="n">
        <v>49</v>
      </c>
      <c r="B50" t="inlineStr">
        <is>
          <t>npm</t>
        </is>
      </c>
      <c r="C50" t="inlineStr">
        <is>
          <t>@radix-ui/react-scroll-area</t>
        </is>
      </c>
      <c r="D50" t="inlineStr">
        <is>
          <t>1.2.10</t>
        </is>
      </c>
      <c r="E50" t="inlineStr">
        <is>
          <t>MIT</t>
        </is>
      </c>
      <c r="F50" t="inlineStr">
        <is>
          <t>Syft scan (2026-07-02T06:42:43Z)</t>
        </is>
      </c>
    </row>
    <row r="51">
      <c r="A51" t="n">
        <v>50</v>
      </c>
      <c r="B51" t="inlineStr">
        <is>
          <t>npm</t>
        </is>
      </c>
      <c r="C51" t="inlineStr">
        <is>
          <t>@radix-ui/react-select</t>
        </is>
      </c>
      <c r="D51" t="inlineStr">
        <is>
          <t>2.2.6</t>
        </is>
      </c>
      <c r="E51" t="inlineStr">
        <is>
          <t>MIT</t>
        </is>
      </c>
      <c r="F51" t="inlineStr">
        <is>
          <t>Syft scan (2026-07-02T06:42:43Z)</t>
        </is>
      </c>
    </row>
    <row r="52">
      <c r="A52" t="n">
        <v>51</v>
      </c>
      <c r="B52" t="inlineStr">
        <is>
          <t>npm</t>
        </is>
      </c>
      <c r="C52" t="inlineStr">
        <is>
          <t>@radix-ui/react-separator</t>
        </is>
      </c>
      <c r="D52" t="inlineStr">
        <is>
          <t>1.1.7</t>
        </is>
      </c>
      <c r="E52" t="inlineStr">
        <is>
          <t>MIT</t>
        </is>
      </c>
      <c r="F52" t="inlineStr">
        <is>
          <t>Syft scan (2026-07-02T06:42:43Z)</t>
        </is>
      </c>
    </row>
    <row r="53">
      <c r="A53" t="n">
        <v>52</v>
      </c>
      <c r="B53" t="inlineStr">
        <is>
          <t>npm</t>
        </is>
      </c>
      <c r="C53" t="inlineStr">
        <is>
          <t>@radix-ui/react-slider</t>
        </is>
      </c>
      <c r="D53" t="inlineStr">
        <is>
          <t>1.3.6</t>
        </is>
      </c>
      <c r="E53" t="inlineStr">
        <is>
          <t>MIT</t>
        </is>
      </c>
      <c r="F53" t="inlineStr">
        <is>
          <t>Syft scan (2026-07-02T06:42:43Z)</t>
        </is>
      </c>
    </row>
    <row r="54">
      <c r="A54" t="n">
        <v>53</v>
      </c>
      <c r="B54" t="inlineStr">
        <is>
          <t>npm</t>
        </is>
      </c>
      <c r="C54" t="inlineStr">
        <is>
          <t>@radix-ui/react-slot</t>
        </is>
      </c>
      <c r="D54" t="inlineStr">
        <is>
          <t>1.2.3</t>
        </is>
      </c>
      <c r="E54" t="inlineStr">
        <is>
          <t>MIT</t>
        </is>
      </c>
      <c r="F54" t="inlineStr">
        <is>
          <t>Syft scan (2026-07-02T06:42:43Z)</t>
        </is>
      </c>
    </row>
    <row r="55">
      <c r="A55" t="n">
        <v>54</v>
      </c>
      <c r="B55" t="inlineStr">
        <is>
          <t>npm</t>
        </is>
      </c>
      <c r="C55" t="inlineStr">
        <is>
          <t>@radix-ui/react-slot</t>
        </is>
      </c>
      <c r="D55" t="inlineStr">
        <is>
          <t>1.2.4</t>
        </is>
      </c>
      <c r="E55" t="inlineStr">
        <is>
          <t>MIT</t>
        </is>
      </c>
      <c r="F55" t="inlineStr">
        <is>
          <t>Syft scan (2026-07-02T06:42:43Z)</t>
        </is>
      </c>
    </row>
    <row r="56">
      <c r="A56" t="n">
        <v>55</v>
      </c>
      <c r="B56" t="inlineStr">
        <is>
          <t>npm</t>
        </is>
      </c>
      <c r="C56" t="inlineStr">
        <is>
          <t>@radix-ui/react-switch</t>
        </is>
      </c>
      <c r="D56" t="inlineStr">
        <is>
          <t>1.2.6</t>
        </is>
      </c>
      <c r="E56" t="inlineStr">
        <is>
          <t>MIT</t>
        </is>
      </c>
      <c r="F56" t="inlineStr">
        <is>
          <t>Syft scan (2026-07-02T06:42:43Z)</t>
        </is>
      </c>
    </row>
    <row r="57">
      <c r="A57" t="n">
        <v>56</v>
      </c>
      <c r="B57" t="inlineStr">
        <is>
          <t>npm</t>
        </is>
      </c>
      <c r="C57" t="inlineStr">
        <is>
          <t>@radix-ui/react-tabs</t>
        </is>
      </c>
      <c r="D57" t="inlineStr">
        <is>
          <t>1.1.13</t>
        </is>
      </c>
      <c r="E57" t="inlineStr">
        <is>
          <t>MIT</t>
        </is>
      </c>
      <c r="F57" t="inlineStr">
        <is>
          <t>Syft scan (2026-07-02T06:42:43Z)</t>
        </is>
      </c>
    </row>
    <row r="58">
      <c r="A58" t="n">
        <v>57</v>
      </c>
      <c r="B58" t="inlineStr">
        <is>
          <t>npm</t>
        </is>
      </c>
      <c r="C58" t="inlineStr">
        <is>
          <t>@radix-ui/react-toast</t>
        </is>
      </c>
      <c r="D58" t="inlineStr">
        <is>
          <t>1.2.15</t>
        </is>
      </c>
      <c r="E58" t="inlineStr">
        <is>
          <t>MIT</t>
        </is>
      </c>
      <c r="F58" t="inlineStr">
        <is>
          <t>Syft scan (2026-07-02T06:42:43Z)</t>
        </is>
      </c>
    </row>
    <row r="59">
      <c r="A59" t="n">
        <v>58</v>
      </c>
      <c r="B59" t="inlineStr">
        <is>
          <t>npm</t>
        </is>
      </c>
      <c r="C59" t="inlineStr">
        <is>
          <t>@radix-ui/react-toggle</t>
        </is>
      </c>
      <c r="D59" t="inlineStr">
        <is>
          <t>1.1.10</t>
        </is>
      </c>
      <c r="E59" t="inlineStr">
        <is>
          <t>MIT</t>
        </is>
      </c>
      <c r="F59" t="inlineStr">
        <is>
          <t>Syft scan (2026-07-02T06:42:43Z)</t>
        </is>
      </c>
    </row>
    <row r="60">
      <c r="A60" t="n">
        <v>59</v>
      </c>
      <c r="B60" t="inlineStr">
        <is>
          <t>npm</t>
        </is>
      </c>
      <c r="C60" t="inlineStr">
        <is>
          <t>@radix-ui/react-toggle-group</t>
        </is>
      </c>
      <c r="D60" t="inlineStr">
        <is>
          <t>1.1.11</t>
        </is>
      </c>
      <c r="E60" t="inlineStr">
        <is>
          <t>MIT</t>
        </is>
      </c>
      <c r="F60" t="inlineStr">
        <is>
          <t>Syft scan (2026-07-02T06:42:43Z)</t>
        </is>
      </c>
    </row>
    <row r="61">
      <c r="A61" t="n">
        <v>60</v>
      </c>
      <c r="B61" t="inlineStr">
        <is>
          <t>npm</t>
        </is>
      </c>
      <c r="C61" t="inlineStr">
        <is>
          <t>@radix-ui/react-toolbar</t>
        </is>
      </c>
      <c r="D61" t="inlineStr">
        <is>
          <t>1.1.11</t>
        </is>
      </c>
      <c r="E61" t="inlineStr">
        <is>
          <t>MIT</t>
        </is>
      </c>
      <c r="F61" t="inlineStr">
        <is>
          <t>Syft scan (2026-07-02T06:42:43Z)</t>
        </is>
      </c>
    </row>
    <row r="62">
      <c r="A62" t="n">
        <v>61</v>
      </c>
      <c r="B62" t="inlineStr">
        <is>
          <t>npm</t>
        </is>
      </c>
      <c r="C62" t="inlineStr">
        <is>
          <t>@radix-ui/react-tooltip</t>
        </is>
      </c>
      <c r="D62" t="inlineStr">
        <is>
          <t>1.2.8</t>
        </is>
      </c>
      <c r="E62" t="inlineStr">
        <is>
          <t>MIT</t>
        </is>
      </c>
      <c r="F62" t="inlineStr">
        <is>
          <t>Syft scan (2026-07-02T06:42:43Z)</t>
        </is>
      </c>
    </row>
    <row r="63">
      <c r="A63" t="n">
        <v>62</v>
      </c>
      <c r="B63" t="inlineStr">
        <is>
          <t>npm</t>
        </is>
      </c>
      <c r="C63" t="inlineStr">
        <is>
          <t>@radix-ui/react-use-callback-ref</t>
        </is>
      </c>
      <c r="D63" t="inlineStr">
        <is>
          <t>1.1.1</t>
        </is>
      </c>
      <c r="E63" t="inlineStr">
        <is>
          <t>MIT</t>
        </is>
      </c>
      <c r="F63" t="inlineStr">
        <is>
          <t>Syft scan (2026-07-02T06:42:43Z)</t>
        </is>
      </c>
    </row>
    <row r="64">
      <c r="A64" t="n">
        <v>63</v>
      </c>
      <c r="B64" t="inlineStr">
        <is>
          <t>npm</t>
        </is>
      </c>
      <c r="C64" t="inlineStr">
        <is>
          <t>@radix-ui/react-use-controllable-state</t>
        </is>
      </c>
      <c r="D64" t="inlineStr">
        <is>
          <t>1.2.2</t>
        </is>
      </c>
      <c r="E64" t="inlineStr">
        <is>
          <t>MIT</t>
        </is>
      </c>
      <c r="F64" t="inlineStr">
        <is>
          <t>Syft scan (2026-07-02T06:42:43Z)</t>
        </is>
      </c>
    </row>
    <row r="65">
      <c r="A65" t="n">
        <v>64</v>
      </c>
      <c r="B65" t="inlineStr">
        <is>
          <t>npm</t>
        </is>
      </c>
      <c r="C65" t="inlineStr">
        <is>
          <t>@radix-ui/react-use-effect-event</t>
        </is>
      </c>
      <c r="D65" t="inlineStr">
        <is>
          <t>0.0.2</t>
        </is>
      </c>
      <c r="E65" t="inlineStr">
        <is>
          <t>MIT</t>
        </is>
      </c>
      <c r="F65" t="inlineStr">
        <is>
          <t>Syft scan (2026-07-02T06:42:43Z)</t>
        </is>
      </c>
    </row>
    <row r="66">
      <c r="A66" t="n">
        <v>65</v>
      </c>
      <c r="B66" t="inlineStr">
        <is>
          <t>npm</t>
        </is>
      </c>
      <c r="C66" t="inlineStr">
        <is>
          <t>@radix-ui/react-use-escape-keydown</t>
        </is>
      </c>
      <c r="D66" t="inlineStr">
        <is>
          <t>1.1.1</t>
        </is>
      </c>
      <c r="E66" t="inlineStr">
        <is>
          <t>MIT</t>
        </is>
      </c>
      <c r="F66" t="inlineStr">
        <is>
          <t>Syft scan (2026-07-02T06:42:43Z)</t>
        </is>
      </c>
    </row>
    <row r="67">
      <c r="A67" t="n">
        <v>66</v>
      </c>
      <c r="B67" t="inlineStr">
        <is>
          <t>npm</t>
        </is>
      </c>
      <c r="C67" t="inlineStr">
        <is>
          <t>@radix-ui/react-use-is-hydrated</t>
        </is>
      </c>
      <c r="D67" t="inlineStr">
        <is>
          <t>0.1.0</t>
        </is>
      </c>
      <c r="E67" t="inlineStr">
        <is>
          <t>MIT</t>
        </is>
      </c>
      <c r="F67" t="inlineStr">
        <is>
          <t>Syft scan (2026-07-02T06:42:43Z)</t>
        </is>
      </c>
    </row>
    <row r="68">
      <c r="A68" t="n">
        <v>67</v>
      </c>
      <c r="B68" t="inlineStr">
        <is>
          <t>npm</t>
        </is>
      </c>
      <c r="C68" t="inlineStr">
        <is>
          <t>@radix-ui/react-use-layout-effect</t>
        </is>
      </c>
      <c r="D68" t="inlineStr">
        <is>
          <t>1.1.1</t>
        </is>
      </c>
      <c r="E68" t="inlineStr">
        <is>
          <t>MIT</t>
        </is>
      </c>
      <c r="F68" t="inlineStr">
        <is>
          <t>Syft scan (2026-07-02T06:42:43Z)</t>
        </is>
      </c>
    </row>
    <row r="69">
      <c r="A69" t="n">
        <v>68</v>
      </c>
      <c r="B69" t="inlineStr">
        <is>
          <t>npm</t>
        </is>
      </c>
      <c r="C69" t="inlineStr">
        <is>
          <t>@radix-ui/react-use-previous</t>
        </is>
      </c>
      <c r="D69" t="inlineStr">
        <is>
          <t>1.1.1</t>
        </is>
      </c>
      <c r="E69" t="inlineStr">
        <is>
          <t>MIT</t>
        </is>
      </c>
      <c r="F69" t="inlineStr">
        <is>
          <t>Syft scan (2026-07-02T06:42:43Z)</t>
        </is>
      </c>
    </row>
    <row r="70">
      <c r="A70" t="n">
        <v>69</v>
      </c>
      <c r="B70" t="inlineStr">
        <is>
          <t>npm</t>
        </is>
      </c>
      <c r="C70" t="inlineStr">
        <is>
          <t>@radix-ui/react-use-rect</t>
        </is>
      </c>
      <c r="D70" t="inlineStr">
        <is>
          <t>1.1.1</t>
        </is>
      </c>
      <c r="E70" t="inlineStr">
        <is>
          <t>MIT</t>
        </is>
      </c>
      <c r="F70" t="inlineStr">
        <is>
          <t>Syft scan (2026-07-02T06:42:43Z)</t>
        </is>
      </c>
    </row>
    <row r="71">
      <c r="A71" t="n">
        <v>70</v>
      </c>
      <c r="B71" t="inlineStr">
        <is>
          <t>npm</t>
        </is>
      </c>
      <c r="C71" t="inlineStr">
        <is>
          <t>@radix-ui/react-use-size</t>
        </is>
      </c>
      <c r="D71" t="inlineStr">
        <is>
          <t>1.1.1</t>
        </is>
      </c>
      <c r="E71" t="inlineStr">
        <is>
          <t>MIT</t>
        </is>
      </c>
      <c r="F71" t="inlineStr">
        <is>
          <t>Syft scan (2026-07-02T06:42:43Z)</t>
        </is>
      </c>
    </row>
    <row r="72">
      <c r="A72" t="n">
        <v>71</v>
      </c>
      <c r="B72" t="inlineStr">
        <is>
          <t>npm</t>
        </is>
      </c>
      <c r="C72" t="inlineStr">
        <is>
          <t>@radix-ui/react-visually-hidden</t>
        </is>
      </c>
      <c r="D72" t="inlineStr">
        <is>
          <t>1.2.3</t>
        </is>
      </c>
      <c r="E72" t="inlineStr">
        <is>
          <t>MIT</t>
        </is>
      </c>
      <c r="F72" t="inlineStr">
        <is>
          <t>Syft scan (2026-07-02T06:42:43Z)</t>
        </is>
      </c>
    </row>
    <row r="73">
      <c r="A73" t="n">
        <v>72</v>
      </c>
      <c r="B73" t="inlineStr">
        <is>
          <t>npm</t>
        </is>
      </c>
      <c r="C73" t="inlineStr">
        <is>
          <t>@radix-ui/rect</t>
        </is>
      </c>
      <c r="D73" t="inlineStr">
        <is>
          <t>1.1.1</t>
        </is>
      </c>
      <c r="E73" t="inlineStr">
        <is>
          <t>MIT</t>
        </is>
      </c>
      <c r="F73" t="inlineStr">
        <is>
          <t>Syft scan (2026-07-02T06:42:43Z)</t>
        </is>
      </c>
    </row>
    <row r="74">
      <c r="A74" t="n">
        <v>73</v>
      </c>
      <c r="B74" t="inlineStr">
        <is>
          <t>npm</t>
        </is>
      </c>
      <c r="C74" t="inlineStr">
        <is>
          <t>@types/dom-mediacapture-record</t>
        </is>
      </c>
      <c r="D74" t="inlineStr">
        <is>
          <t>1.0.22</t>
        </is>
      </c>
      <c r="E74" t="inlineStr">
        <is>
          <t>MIT</t>
        </is>
      </c>
      <c r="F74" t="inlineStr">
        <is>
          <t>Syft scan (2026-07-02T06:42:43Z)</t>
        </is>
      </c>
    </row>
    <row r="75">
      <c r="A75" t="n">
        <v>74</v>
      </c>
      <c r="B75" t="inlineStr">
        <is>
          <t>npm</t>
        </is>
      </c>
      <c r="C75" t="inlineStr">
        <is>
          <t>@types/react</t>
        </is>
      </c>
      <c r="D75" t="inlineStr">
        <is>
          <t>19.2.14</t>
        </is>
      </c>
      <c r="E75" t="inlineStr">
        <is>
          <t>MIT</t>
        </is>
      </c>
      <c r="F75" t="inlineStr">
        <is>
          <t>Syft scan (2026-07-02T06:42:43Z)</t>
        </is>
      </c>
    </row>
    <row r="76">
      <c r="A76" t="n">
        <v>75</v>
      </c>
      <c r="B76" t="inlineStr">
        <is>
          <t>npm</t>
        </is>
      </c>
      <c r="C76" t="inlineStr">
        <is>
          <t>@types/react-dom</t>
        </is>
      </c>
      <c r="D76" t="inlineStr">
        <is>
          <t>19.2.3</t>
        </is>
      </c>
      <c r="E76" t="inlineStr">
        <is>
          <t>MIT</t>
        </is>
      </c>
      <c r="F76" t="inlineStr">
        <is>
          <t>Syft scan (2026-07-02T06:42:43Z)</t>
        </is>
      </c>
    </row>
    <row r="77">
      <c r="A77" t="n">
        <v>76</v>
      </c>
      <c r="B77" t="inlineStr">
        <is>
          <t>python</t>
        </is>
      </c>
      <c r="C77" t="inlineStr">
        <is>
          <t>aiofiles</t>
        </is>
      </c>
      <c r="D77" t="inlineStr">
        <is>
          <t>25.1.0</t>
        </is>
      </c>
      <c r="E77" t="inlineStr">
        <is>
          <t>UNKNOWN</t>
        </is>
      </c>
      <c r="F77" t="inlineStr">
        <is>
          <t>Syft scan (2026-07-02T06:42:43Z)</t>
        </is>
      </c>
    </row>
    <row r="78">
      <c r="A78" t="n">
        <v>77</v>
      </c>
      <c r="B78" t="inlineStr">
        <is>
          <t>python</t>
        </is>
      </c>
      <c r="C78" t="inlineStr">
        <is>
          <t>aiohappyeyeballs</t>
        </is>
      </c>
      <c r="D78" t="inlineStr">
        <is>
          <t>2.6.1</t>
        </is>
      </c>
      <c r="E78" t="inlineStr">
        <is>
          <t>UNKNOWN</t>
        </is>
      </c>
      <c r="F78" t="inlineStr">
        <is>
          <t>Syft scan (2026-07-02T06:42:43Z)</t>
        </is>
      </c>
    </row>
    <row r="79">
      <c r="A79" t="n">
        <v>78</v>
      </c>
      <c r="B79" t="inlineStr">
        <is>
          <t>python</t>
        </is>
      </c>
      <c r="C79" t="inlineStr">
        <is>
          <t>aiohttp</t>
        </is>
      </c>
      <c r="D79" t="inlineStr">
        <is>
          <t>3.13.5</t>
        </is>
      </c>
      <c r="E79" t="inlineStr">
        <is>
          <t>UNKNOWN</t>
        </is>
      </c>
      <c r="F79" t="inlineStr">
        <is>
          <t>Syft scan (2026-07-02T06:42:43Z)</t>
        </is>
      </c>
    </row>
    <row r="80">
      <c r="A80" t="n">
        <v>79</v>
      </c>
      <c r="B80" t="inlineStr">
        <is>
          <t>python</t>
        </is>
      </c>
      <c r="C80" t="inlineStr">
        <is>
          <t>aiosignal</t>
        </is>
      </c>
      <c r="D80" t="inlineStr">
        <is>
          <t>1.4.0</t>
        </is>
      </c>
      <c r="E80" t="inlineStr">
        <is>
          <t>UNKNOWN</t>
        </is>
      </c>
      <c r="F80" t="inlineStr">
        <is>
          <t>Syft scan (2026-07-02T06:42:43Z)</t>
        </is>
      </c>
    </row>
    <row r="81">
      <c r="A81" t="n">
        <v>80</v>
      </c>
      <c r="B81" t="inlineStr">
        <is>
          <t>python</t>
        </is>
      </c>
      <c r="C81" t="inlineStr">
        <is>
          <t>aiosqlite</t>
        </is>
      </c>
      <c r="D81" t="inlineStr">
        <is>
          <t>0.22.1</t>
        </is>
      </c>
      <c r="E81" t="inlineStr">
        <is>
          <t>UNKNOWN</t>
        </is>
      </c>
      <c r="F81" t="inlineStr">
        <is>
          <t>Syft scan (2026-07-02T06:42:43Z)</t>
        </is>
      </c>
    </row>
    <row r="82">
      <c r="A82" t="n">
        <v>81</v>
      </c>
      <c r="B82" t="inlineStr">
        <is>
          <t>python</t>
        </is>
      </c>
      <c r="C82" t="inlineStr">
        <is>
          <t>alembic</t>
        </is>
      </c>
      <c r="D82" t="inlineStr">
        <is>
          <t>1.18.4</t>
        </is>
      </c>
      <c r="E82" t="inlineStr">
        <is>
          <t>UNKNOWN</t>
        </is>
      </c>
      <c r="F82" t="inlineStr">
        <is>
          <t>Syft scan (2026-07-02T06:42:43Z)</t>
        </is>
      </c>
    </row>
    <row r="83">
      <c r="A83" t="n">
        <v>82</v>
      </c>
      <c r="B83" t="inlineStr">
        <is>
          <t>python</t>
        </is>
      </c>
      <c r="C83" t="inlineStr">
        <is>
          <t>annotated-doc</t>
        </is>
      </c>
      <c r="D83" t="inlineStr">
        <is>
          <t>0.0.4</t>
        </is>
      </c>
      <c r="E83" t="inlineStr">
        <is>
          <t>UNKNOWN</t>
        </is>
      </c>
      <c r="F83" t="inlineStr">
        <is>
          <t>Syft scan (2026-07-02T06:42:43Z)</t>
        </is>
      </c>
    </row>
    <row r="84">
      <c r="A84" t="n">
        <v>83</v>
      </c>
      <c r="B84" t="inlineStr">
        <is>
          <t>python</t>
        </is>
      </c>
      <c r="C84" t="inlineStr">
        <is>
          <t>annotated-types</t>
        </is>
      </c>
      <c r="D84" t="inlineStr">
        <is>
          <t>0.7.0</t>
        </is>
      </c>
      <c r="E84" t="inlineStr">
        <is>
          <t>UNKNOWN</t>
        </is>
      </c>
      <c r="F84" t="inlineStr">
        <is>
          <t>Syft scan (2026-07-02T06:42:43Z)</t>
        </is>
      </c>
    </row>
    <row r="85">
      <c r="A85" t="n">
        <v>84</v>
      </c>
      <c r="B85" t="inlineStr">
        <is>
          <t>python</t>
        </is>
      </c>
      <c r="C85" t="inlineStr">
        <is>
          <t>anyio</t>
        </is>
      </c>
      <c r="D85" t="inlineStr">
        <is>
          <t>4.13.0</t>
        </is>
      </c>
      <c r="E85" t="inlineStr">
        <is>
          <t>UNKNOWN</t>
        </is>
      </c>
      <c r="F85" t="inlineStr">
        <is>
          <t>Syft scan (2026-07-02T06:42:43Z)</t>
        </is>
      </c>
    </row>
    <row r="86">
      <c r="A86" t="n">
        <v>85</v>
      </c>
      <c r="B86" t="inlineStr">
        <is>
          <t>npm</t>
        </is>
      </c>
      <c r="C86" t="inlineStr">
        <is>
          <t>aria-hidden</t>
        </is>
      </c>
      <c r="D86" t="inlineStr">
        <is>
          <t>1.2.6</t>
        </is>
      </c>
      <c r="E86" t="inlineStr">
        <is>
          <t>MIT</t>
        </is>
      </c>
      <c r="F86" t="inlineStr">
        <is>
          <t>Syft scan (2026-07-02T06:42:43Z)</t>
        </is>
      </c>
    </row>
    <row r="87">
      <c r="A87" t="n">
        <v>86</v>
      </c>
      <c r="B87" t="inlineStr">
        <is>
          <t>python</t>
        </is>
      </c>
      <c r="C87" t="inlineStr">
        <is>
          <t>attrs</t>
        </is>
      </c>
      <c r="D87" t="inlineStr">
        <is>
          <t>26.1.0</t>
        </is>
      </c>
      <c r="E87" t="inlineStr">
        <is>
          <t>UNKNOWN</t>
        </is>
      </c>
      <c r="F87" t="inlineStr">
        <is>
          <t>Syft scan (2026-07-02T06:42:43Z)</t>
        </is>
      </c>
    </row>
    <row r="88">
      <c r="A88" t="n">
        <v>87</v>
      </c>
      <c r="B88" t="inlineStr">
        <is>
          <t>python</t>
        </is>
      </c>
      <c r="C88" t="inlineStr">
        <is>
          <t>av</t>
        </is>
      </c>
      <c r="D88" t="inlineStr">
        <is>
          <t>17.0.1</t>
        </is>
      </c>
      <c r="E88" t="inlineStr">
        <is>
          <t>UNKNOWN</t>
        </is>
      </c>
      <c r="F88" t="inlineStr">
        <is>
          <t>Syft scan (2026-07-02T06:42:43Z)</t>
        </is>
      </c>
    </row>
    <row r="89">
      <c r="A89" t="n">
        <v>88</v>
      </c>
      <c r="B89" t="inlineStr">
        <is>
          <t>python</t>
        </is>
      </c>
      <c r="C89" t="inlineStr">
        <is>
          <t>certifi</t>
        </is>
      </c>
      <c r="D89" t="inlineStr">
        <is>
          <t>2026.4.22</t>
        </is>
      </c>
      <c r="E89" t="inlineStr">
        <is>
          <t>UNKNOWN</t>
        </is>
      </c>
      <c r="F89" t="inlineStr">
        <is>
          <t>Syft scan (2026-07-02T06:42:43Z)</t>
        </is>
      </c>
    </row>
    <row r="90">
      <c r="A90" t="n">
        <v>89</v>
      </c>
      <c r="B90" t="inlineStr">
        <is>
          <t>python</t>
        </is>
      </c>
      <c r="C90" t="inlineStr">
        <is>
          <t>cffi</t>
        </is>
      </c>
      <c r="D90" t="inlineStr">
        <is>
          <t>2.0.0</t>
        </is>
      </c>
      <c r="E90" t="inlineStr">
        <is>
          <t>UNKNOWN</t>
        </is>
      </c>
      <c r="F90" t="inlineStr">
        <is>
          <t>Syft scan (2026-07-02T06:42:43Z)</t>
        </is>
      </c>
    </row>
    <row r="91">
      <c r="A91" t="n">
        <v>90</v>
      </c>
      <c r="B91" t="inlineStr">
        <is>
          <t>python</t>
        </is>
      </c>
      <c r="C91" t="inlineStr">
        <is>
          <t>cfgv</t>
        </is>
      </c>
      <c r="D91" t="inlineStr">
        <is>
          <t>3.5.0</t>
        </is>
      </c>
      <c r="E91" t="inlineStr">
        <is>
          <t>UNKNOWN</t>
        </is>
      </c>
      <c r="F91" t="inlineStr">
        <is>
          <t>Syft scan (2026-07-02T06:42:43Z)</t>
        </is>
      </c>
    </row>
    <row r="92">
      <c r="A92" t="n">
        <v>91</v>
      </c>
      <c r="B92" t="inlineStr">
        <is>
          <t>python</t>
        </is>
      </c>
      <c r="C92" t="inlineStr">
        <is>
          <t>charset-normalizer</t>
        </is>
      </c>
      <c r="D92" t="inlineStr">
        <is>
          <t>3.4.7</t>
        </is>
      </c>
      <c r="E92" t="inlineStr">
        <is>
          <t>UNKNOWN</t>
        </is>
      </c>
      <c r="F92" t="inlineStr">
        <is>
          <t>Syft scan (2026-07-02T06:42:43Z)</t>
        </is>
      </c>
    </row>
    <row r="93">
      <c r="A93" t="n">
        <v>92</v>
      </c>
      <c r="B93" t="inlineStr">
        <is>
          <t>npm</t>
        </is>
      </c>
      <c r="C93" t="inlineStr">
        <is>
          <t>class-variance-authority</t>
        </is>
      </c>
      <c r="D93" t="inlineStr">
        <is>
          <t>0.7.1</t>
        </is>
      </c>
      <c r="E93" t="inlineStr">
        <is>
          <t>Apache-2.0</t>
        </is>
      </c>
      <c r="F93" t="inlineStr">
        <is>
          <t>Syft scan (2026-07-02T06:42:43Z)</t>
        </is>
      </c>
    </row>
    <row r="94">
      <c r="A94" t="n">
        <v>93</v>
      </c>
      <c r="B94" t="inlineStr">
        <is>
          <t>python</t>
        </is>
      </c>
      <c r="C94" t="inlineStr">
        <is>
          <t>click</t>
        </is>
      </c>
      <c r="D94" t="inlineStr">
        <is>
          <t>8.3.3</t>
        </is>
      </c>
      <c r="E94" t="inlineStr">
        <is>
          <t>UNKNOWN</t>
        </is>
      </c>
      <c r="F94" t="inlineStr">
        <is>
          <t>Syft scan (2026-07-02T06:42:43Z)</t>
        </is>
      </c>
    </row>
    <row r="95">
      <c r="A95" t="n">
        <v>94</v>
      </c>
      <c r="B95" t="inlineStr">
        <is>
          <t>npm</t>
        </is>
      </c>
      <c r="C95" t="inlineStr">
        <is>
          <t>clsx</t>
        </is>
      </c>
      <c r="D95" t="inlineStr">
        <is>
          <t>2.1.1</t>
        </is>
      </c>
      <c r="E95" t="inlineStr">
        <is>
          <t>MIT</t>
        </is>
      </c>
      <c r="F95" t="inlineStr">
        <is>
          <t>Syft scan (2026-07-02T06:42:43Z)</t>
        </is>
      </c>
    </row>
    <row r="96">
      <c r="A96" t="n">
        <v>95</v>
      </c>
      <c r="B96" t="inlineStr">
        <is>
          <t>python</t>
        </is>
      </c>
      <c r="C96" t="inlineStr">
        <is>
          <t>colorama</t>
        </is>
      </c>
      <c r="D96" t="inlineStr">
        <is>
          <t>0.4.6</t>
        </is>
      </c>
      <c r="E96" t="inlineStr">
        <is>
          <t>UNKNOWN</t>
        </is>
      </c>
      <c r="F96" t="inlineStr">
        <is>
          <t>Syft scan (2026-07-02T06:42:43Z)</t>
        </is>
      </c>
    </row>
    <row r="97">
      <c r="A97" t="n">
        <v>96</v>
      </c>
      <c r="B97" t="inlineStr">
        <is>
          <t>npm</t>
        </is>
      </c>
      <c r="C97" t="inlineStr">
        <is>
          <t>cookie</t>
        </is>
      </c>
      <c r="D97" t="inlineStr">
        <is>
          <t>1.1.1</t>
        </is>
      </c>
      <c r="E97" t="inlineStr">
        <is>
          <t>MIT</t>
        </is>
      </c>
      <c r="F97" t="inlineStr">
        <is>
          <t>Syft scan (2026-07-02T06:42:43Z)</t>
        </is>
      </c>
    </row>
    <row r="98">
      <c r="A98" t="n">
        <v>97</v>
      </c>
      <c r="B98" t="inlineStr">
        <is>
          <t>python</t>
        </is>
      </c>
      <c r="C98" t="inlineStr">
        <is>
          <t>cryptography</t>
        </is>
      </c>
      <c r="D98" t="inlineStr">
        <is>
          <t>47.0.0</t>
        </is>
      </c>
      <c r="E98" t="inlineStr">
        <is>
          <t>UNKNOWN</t>
        </is>
      </c>
      <c r="F98" t="inlineStr">
        <is>
          <t>Syft scan (2026-07-02T06:42:43Z)</t>
        </is>
      </c>
    </row>
    <row r="99">
      <c r="A99" t="n">
        <v>98</v>
      </c>
      <c r="B99" t="inlineStr">
        <is>
          <t>npm</t>
        </is>
      </c>
      <c r="C99" t="inlineStr">
        <is>
          <t>csstype</t>
        </is>
      </c>
      <c r="D99" t="inlineStr">
        <is>
          <t>3.2.3</t>
        </is>
      </c>
      <c r="E99" t="inlineStr">
        <is>
          <t>MIT</t>
        </is>
      </c>
      <c r="F99" t="inlineStr">
        <is>
          <t>Syft scan (2026-07-02T06:42:43Z)</t>
        </is>
      </c>
    </row>
    <row r="100">
      <c r="A100" t="n">
        <v>99</v>
      </c>
      <c r="B100" t="inlineStr">
        <is>
          <t>npm</t>
        </is>
      </c>
      <c r="C100" t="inlineStr">
        <is>
          <t>detect-node-es</t>
        </is>
      </c>
      <c r="D100" t="inlineStr">
        <is>
          <t>1.1.0</t>
        </is>
      </c>
      <c r="E100" t="inlineStr">
        <is>
          <t>MIT</t>
        </is>
      </c>
      <c r="F100" t="inlineStr">
        <is>
          <t>Syft scan (2026-07-02T06:42:43Z)</t>
        </is>
      </c>
    </row>
    <row r="101">
      <c r="A101" t="n">
        <v>100</v>
      </c>
      <c r="B101" t="inlineStr">
        <is>
          <t>python</t>
        </is>
      </c>
      <c r="C101" t="inlineStr">
        <is>
          <t>distlib</t>
        </is>
      </c>
      <c r="D101" t="inlineStr">
        <is>
          <t>0.4.0</t>
        </is>
      </c>
      <c r="E101" t="inlineStr">
        <is>
          <t>UNKNOWN</t>
        </is>
      </c>
      <c r="F101" t="inlineStr">
        <is>
          <t>Syft scan (2026-07-02T06:42:43Z)</t>
        </is>
      </c>
    </row>
    <row r="102">
      <c r="A102" t="n">
        <v>101</v>
      </c>
      <c r="B102" t="inlineStr">
        <is>
          <t>python</t>
        </is>
      </c>
      <c r="C102" t="inlineStr">
        <is>
          <t>distro</t>
        </is>
      </c>
      <c r="D102" t="inlineStr">
        <is>
          <t>1.9.0</t>
        </is>
      </c>
      <c r="E102" t="inlineStr">
        <is>
          <t>UNKNOWN</t>
        </is>
      </c>
      <c r="F102" t="inlineStr">
        <is>
          <t>Syft scan (2026-07-02T06:42:43Z)</t>
        </is>
      </c>
    </row>
    <row r="103">
      <c r="A103" t="n">
        <v>102</v>
      </c>
      <c r="B103" t="inlineStr">
        <is>
          <t>python</t>
        </is>
      </c>
      <c r="C103" t="inlineStr">
        <is>
          <t>docstring-parser</t>
        </is>
      </c>
      <c r="D103" t="inlineStr">
        <is>
          <t>0.18.0</t>
        </is>
      </c>
      <c r="E103" t="inlineStr">
        <is>
          <t>UNKNOWN</t>
        </is>
      </c>
      <c r="F103" t="inlineStr">
        <is>
          <t>Syft scan (2026-07-02T06:42:43Z)</t>
        </is>
      </c>
    </row>
    <row r="104">
      <c r="A104" t="n">
        <v>103</v>
      </c>
      <c r="B104" t="inlineStr">
        <is>
          <t>python</t>
        </is>
      </c>
      <c r="C104" t="inlineStr">
        <is>
          <t>eval-type-backport</t>
        </is>
      </c>
      <c r="D104" t="inlineStr">
        <is>
          <t>0.3.1</t>
        </is>
      </c>
      <c r="E104" t="inlineStr">
        <is>
          <t>UNKNOWN</t>
        </is>
      </c>
      <c r="F104" t="inlineStr">
        <is>
          <t>Syft scan (2026-07-02T06:42:43Z)</t>
        </is>
      </c>
    </row>
    <row r="105">
      <c r="A105" t="n">
        <v>104</v>
      </c>
      <c r="B105" t="inlineStr">
        <is>
          <t>npm</t>
        </is>
      </c>
      <c r="C105" t="inlineStr">
        <is>
          <t>events</t>
        </is>
      </c>
      <c r="D105" t="inlineStr">
        <is>
          <t>3.3.0</t>
        </is>
      </c>
      <c r="E105" t="inlineStr">
        <is>
          <t>MIT</t>
        </is>
      </c>
      <c r="F105" t="inlineStr">
        <is>
          <t>Syft scan (2026-07-02T06:42:43Z)</t>
        </is>
      </c>
    </row>
    <row r="106">
      <c r="A106" t="n">
        <v>105</v>
      </c>
      <c r="B106" t="inlineStr">
        <is>
          <t>python</t>
        </is>
      </c>
      <c r="C106" t="inlineStr">
        <is>
          <t>fastapi</t>
        </is>
      </c>
      <c r="D106" t="inlineStr">
        <is>
          <t>0.115.14</t>
        </is>
      </c>
      <c r="E106" t="inlineStr">
        <is>
          <t>UNKNOWN</t>
        </is>
      </c>
      <c r="F106" t="inlineStr">
        <is>
          <t>Syft scan (2026-07-02T06:42:43Z)</t>
        </is>
      </c>
    </row>
    <row r="107">
      <c r="A107" t="n">
        <v>106</v>
      </c>
      <c r="B107" t="inlineStr">
        <is>
          <t>python</t>
        </is>
      </c>
      <c r="C107" t="inlineStr">
        <is>
          <t>filelock</t>
        </is>
      </c>
      <c r="D107" t="inlineStr">
        <is>
          <t>3.29.0</t>
        </is>
      </c>
      <c r="E107" t="inlineStr">
        <is>
          <t>UNKNOWN</t>
        </is>
      </c>
      <c r="F107" t="inlineStr">
        <is>
          <t>Syft scan (2026-07-02T06:42:43Z)</t>
        </is>
      </c>
    </row>
    <row r="108">
      <c r="A108" t="n">
        <v>107</v>
      </c>
      <c r="B108" t="inlineStr">
        <is>
          <t>python</t>
        </is>
      </c>
      <c r="C108" t="inlineStr">
        <is>
          <t>flatbuffers</t>
        </is>
      </c>
      <c r="D108" t="inlineStr">
        <is>
          <t>25.12.19</t>
        </is>
      </c>
      <c r="E108" t="inlineStr">
        <is>
          <t>UNKNOWN</t>
        </is>
      </c>
      <c r="F108" t="inlineStr">
        <is>
          <t>Syft scan (2026-07-02T06:42:43Z)</t>
        </is>
      </c>
    </row>
    <row r="109">
      <c r="A109" t="n">
        <v>108</v>
      </c>
      <c r="B109" t="inlineStr">
        <is>
          <t>python</t>
        </is>
      </c>
      <c r="C109" t="inlineStr">
        <is>
          <t>frozenlist</t>
        </is>
      </c>
      <c r="D109" t="inlineStr">
        <is>
          <t>1.8.0</t>
        </is>
      </c>
      <c r="E109" t="inlineStr">
        <is>
          <t>UNKNOWN</t>
        </is>
      </c>
      <c r="F109" t="inlineStr">
        <is>
          <t>Syft scan (2026-07-02T06:42:43Z)</t>
        </is>
      </c>
    </row>
    <row r="110">
      <c r="A110" t="n">
        <v>109</v>
      </c>
      <c r="B110" t="inlineStr">
        <is>
          <t>npm</t>
        </is>
      </c>
      <c r="C110" t="inlineStr">
        <is>
          <t>get-nonce</t>
        </is>
      </c>
      <c r="D110" t="inlineStr">
        <is>
          <t>1.0.1</t>
        </is>
      </c>
      <c r="E110" t="inlineStr">
        <is>
          <t>MIT</t>
        </is>
      </c>
      <c r="F110" t="inlineStr">
        <is>
          <t>Syft scan (2026-07-02T06:42:43Z)</t>
        </is>
      </c>
    </row>
    <row r="111">
      <c r="A111" t="n">
        <v>110</v>
      </c>
      <c r="B111" t="inlineStr">
        <is>
          <t>python</t>
        </is>
      </c>
      <c r="C111" t="inlineStr">
        <is>
          <t>google-api-core</t>
        </is>
      </c>
      <c r="D111" t="inlineStr">
        <is>
          <t>2.30.3</t>
        </is>
      </c>
      <c r="E111" t="inlineStr">
        <is>
          <t>UNKNOWN</t>
        </is>
      </c>
      <c r="F111" t="inlineStr">
        <is>
          <t>Syft scan (2026-07-02T06:42:43Z)</t>
        </is>
      </c>
    </row>
    <row r="112">
      <c r="A112" t="n">
        <v>111</v>
      </c>
      <c r="B112" t="inlineStr">
        <is>
          <t>python</t>
        </is>
      </c>
      <c r="C112" t="inlineStr">
        <is>
          <t>google-auth</t>
        </is>
      </c>
      <c r="D112" t="inlineStr">
        <is>
          <t>2.49.2</t>
        </is>
      </c>
      <c r="E112" t="inlineStr">
        <is>
          <t>UNKNOWN</t>
        </is>
      </c>
      <c r="F112" t="inlineStr">
        <is>
          <t>Syft scan (2026-07-02T06:42:43Z)</t>
        </is>
      </c>
    </row>
    <row r="113">
      <c r="A113" t="n">
        <v>112</v>
      </c>
      <c r="B113" t="inlineStr">
        <is>
          <t>python</t>
        </is>
      </c>
      <c r="C113" t="inlineStr">
        <is>
          <t>google-cloud-speech</t>
        </is>
      </c>
      <c r="D113" t="inlineStr">
        <is>
          <t>2.38.0</t>
        </is>
      </c>
      <c r="E113" t="inlineStr">
        <is>
          <t>UNKNOWN</t>
        </is>
      </c>
      <c r="F113" t="inlineStr">
        <is>
          <t>Syft scan (2026-07-02T06:42:43Z)</t>
        </is>
      </c>
    </row>
    <row r="114">
      <c r="A114" t="n">
        <v>113</v>
      </c>
      <c r="B114" t="inlineStr">
        <is>
          <t>python</t>
        </is>
      </c>
      <c r="C114" t="inlineStr">
        <is>
          <t>google-cloud-texttospeech</t>
        </is>
      </c>
      <c r="D114" t="inlineStr">
        <is>
          <t>2.36.0</t>
        </is>
      </c>
      <c r="E114" t="inlineStr">
        <is>
          <t>UNKNOWN</t>
        </is>
      </c>
      <c r="F114" t="inlineStr">
        <is>
          <t>Syft scan (2026-07-02T06:42:43Z)</t>
        </is>
      </c>
    </row>
    <row r="115">
      <c r="A115" t="n">
        <v>114</v>
      </c>
      <c r="B115" t="inlineStr">
        <is>
          <t>python</t>
        </is>
      </c>
      <c r="C115" t="inlineStr">
        <is>
          <t>google-genai</t>
        </is>
      </c>
      <c r="D115" t="inlineStr">
        <is>
          <t>1.73.1</t>
        </is>
      </c>
      <c r="E115" t="inlineStr">
        <is>
          <t>UNKNOWN</t>
        </is>
      </c>
      <c r="F115" t="inlineStr">
        <is>
          <t>Syft scan (2026-07-02T06:42:43Z)</t>
        </is>
      </c>
    </row>
    <row r="116">
      <c r="A116" t="n">
        <v>115</v>
      </c>
      <c r="B116" t="inlineStr">
        <is>
          <t>python</t>
        </is>
      </c>
      <c r="C116" t="inlineStr">
        <is>
          <t>googleapis-common-protos</t>
        </is>
      </c>
      <c r="D116" t="inlineStr">
        <is>
          <t>1.74.0</t>
        </is>
      </c>
      <c r="E116" t="inlineStr">
        <is>
          <t>UNKNOWN</t>
        </is>
      </c>
      <c r="F116" t="inlineStr">
        <is>
          <t>Syft scan (2026-07-02T06:42:43Z)</t>
        </is>
      </c>
    </row>
    <row r="117">
      <c r="A117" t="n">
        <v>116</v>
      </c>
      <c r="B117" t="inlineStr">
        <is>
          <t>python</t>
        </is>
      </c>
      <c r="C117" t="inlineStr">
        <is>
          <t>greenlet</t>
        </is>
      </c>
      <c r="D117" t="inlineStr">
        <is>
          <t>3.5.1</t>
        </is>
      </c>
      <c r="E117" t="inlineStr">
        <is>
          <t>UNKNOWN</t>
        </is>
      </c>
      <c r="F117" t="inlineStr">
        <is>
          <t>Syft scan (2026-07-02T06:42:43Z)</t>
        </is>
      </c>
    </row>
    <row r="118">
      <c r="A118" t="n">
        <v>117</v>
      </c>
      <c r="B118" t="inlineStr">
        <is>
          <t>python</t>
        </is>
      </c>
      <c r="C118" t="inlineStr">
        <is>
          <t>grpcio</t>
        </is>
      </c>
      <c r="D118" t="inlineStr">
        <is>
          <t>1.80.0</t>
        </is>
      </c>
      <c r="E118" t="inlineStr">
        <is>
          <t>UNKNOWN</t>
        </is>
      </c>
      <c r="F118" t="inlineStr">
        <is>
          <t>Syft scan (2026-07-02T06:42:43Z)</t>
        </is>
      </c>
    </row>
    <row r="119">
      <c r="A119" t="n">
        <v>118</v>
      </c>
      <c r="B119" t="inlineStr">
        <is>
          <t>python</t>
        </is>
      </c>
      <c r="C119" t="inlineStr">
        <is>
          <t>grpcio-status</t>
        </is>
      </c>
      <c r="D119" t="inlineStr">
        <is>
          <t>1.80.0</t>
        </is>
      </c>
      <c r="E119" t="inlineStr">
        <is>
          <t>UNKNOWN</t>
        </is>
      </c>
      <c r="F119" t="inlineStr">
        <is>
          <t>Syft scan (2026-07-02T06:42:43Z)</t>
        </is>
      </c>
    </row>
    <row r="120">
      <c r="A120" t="n">
        <v>119</v>
      </c>
      <c r="B120" t="inlineStr">
        <is>
          <t>python</t>
        </is>
      </c>
      <c r="C120" t="inlineStr">
        <is>
          <t>h11</t>
        </is>
      </c>
      <c r="D120" t="inlineStr">
        <is>
          <t>0.16.0</t>
        </is>
      </c>
      <c r="E120" t="inlineStr">
        <is>
          <t>UNKNOWN</t>
        </is>
      </c>
      <c r="F120" t="inlineStr">
        <is>
          <t>Syft scan (2026-07-02T06:42:43Z)</t>
        </is>
      </c>
    </row>
    <row r="121">
      <c r="A121" t="n">
        <v>120</v>
      </c>
      <c r="B121" t="inlineStr">
        <is>
          <t>python</t>
        </is>
      </c>
      <c r="C121" t="inlineStr">
        <is>
          <t>httpcore</t>
        </is>
      </c>
      <c r="D121" t="inlineStr">
        <is>
          <t>1.0.9</t>
        </is>
      </c>
      <c r="E121" t="inlineStr">
        <is>
          <t>UNKNOWN</t>
        </is>
      </c>
      <c r="F121" t="inlineStr">
        <is>
          <t>Syft scan (2026-07-02T06:42:43Z)</t>
        </is>
      </c>
    </row>
    <row r="122">
      <c r="A122" t="n">
        <v>121</v>
      </c>
      <c r="B122" t="inlineStr">
        <is>
          <t>python</t>
        </is>
      </c>
      <c r="C122" t="inlineStr">
        <is>
          <t>httptools</t>
        </is>
      </c>
      <c r="D122" t="inlineStr">
        <is>
          <t>0.7.1</t>
        </is>
      </c>
      <c r="E122" t="inlineStr">
        <is>
          <t>UNKNOWN</t>
        </is>
      </c>
      <c r="F122" t="inlineStr">
        <is>
          <t>Syft scan (2026-07-02T06:42:43Z)</t>
        </is>
      </c>
    </row>
    <row r="123">
      <c r="A123" t="n">
        <v>122</v>
      </c>
      <c r="B123" t="inlineStr">
        <is>
          <t>python</t>
        </is>
      </c>
      <c r="C123" t="inlineStr">
        <is>
          <t>httpx</t>
        </is>
      </c>
      <c r="D123" t="inlineStr">
        <is>
          <t>0.28.1</t>
        </is>
      </c>
      <c r="E123" t="inlineStr">
        <is>
          <t>UNKNOWN</t>
        </is>
      </c>
      <c r="F123" t="inlineStr">
        <is>
          <t>Syft scan (2026-07-02T06:42:43Z)</t>
        </is>
      </c>
    </row>
    <row r="124">
      <c r="A124" t="n">
        <v>123</v>
      </c>
      <c r="B124" t="inlineStr">
        <is>
          <t>python</t>
        </is>
      </c>
      <c r="C124" t="inlineStr">
        <is>
          <t>identify</t>
        </is>
      </c>
      <c r="D124" t="inlineStr">
        <is>
          <t>2.6.19</t>
        </is>
      </c>
      <c r="E124" t="inlineStr">
        <is>
          <t>UNKNOWN</t>
        </is>
      </c>
      <c r="F124" t="inlineStr">
        <is>
          <t>Syft scan (2026-07-02T06:42:43Z)</t>
        </is>
      </c>
    </row>
    <row r="125">
      <c r="A125" t="n">
        <v>124</v>
      </c>
      <c r="B125" t="inlineStr">
        <is>
          <t>python</t>
        </is>
      </c>
      <c r="C125" t="inlineStr">
        <is>
          <t>idna</t>
        </is>
      </c>
      <c r="D125" t="inlineStr">
        <is>
          <t>3.13</t>
        </is>
      </c>
      <c r="E125" t="inlineStr">
        <is>
          <t>UNKNOWN</t>
        </is>
      </c>
      <c r="F125" t="inlineStr">
        <is>
          <t>Syft scan (2026-07-02T06:42:43Z)</t>
        </is>
      </c>
    </row>
    <row r="126">
      <c r="A126" t="n">
        <v>125</v>
      </c>
      <c r="B126" t="inlineStr">
        <is>
          <t>python</t>
        </is>
      </c>
      <c r="C126" t="inlineStr">
        <is>
          <t>importlib-metadata</t>
        </is>
      </c>
      <c r="D126" t="inlineStr">
        <is>
          <t>8.7.1</t>
        </is>
      </c>
      <c r="E126" t="inlineStr">
        <is>
          <t>UNKNOWN</t>
        </is>
      </c>
      <c r="F126" t="inlineStr">
        <is>
          <t>Syft scan (2026-07-02T06:42:43Z)</t>
        </is>
      </c>
    </row>
    <row r="127">
      <c r="A127" t="n">
        <v>126</v>
      </c>
      <c r="B127" t="inlineStr">
        <is>
          <t>python</t>
        </is>
      </c>
      <c r="C127" t="inlineStr">
        <is>
          <t>iniconfig</t>
        </is>
      </c>
      <c r="D127" t="inlineStr">
        <is>
          <t>2.3.0</t>
        </is>
      </c>
      <c r="E127" t="inlineStr">
        <is>
          <t>UNKNOWN</t>
        </is>
      </c>
      <c r="F127" t="inlineStr">
        <is>
          <t>Syft scan (2026-07-02T06:42:43Z)</t>
        </is>
      </c>
    </row>
    <row r="128">
      <c r="A128" t="n">
        <v>127</v>
      </c>
      <c r="B128" t="inlineStr">
        <is>
          <t>python</t>
        </is>
      </c>
      <c r="C128" t="inlineStr">
        <is>
          <t>jiter</t>
        </is>
      </c>
      <c r="D128" t="inlineStr">
        <is>
          <t>0.14.0</t>
        </is>
      </c>
      <c r="E128" t="inlineStr">
        <is>
          <t>UNKNOWN</t>
        </is>
      </c>
      <c r="F128" t="inlineStr">
        <is>
          <t>Syft scan (2026-07-02T06:42:43Z)</t>
        </is>
      </c>
    </row>
    <row r="129">
      <c r="A129" t="n">
        <v>128</v>
      </c>
      <c r="B129" t="inlineStr">
        <is>
          <t>npm</t>
        </is>
      </c>
      <c r="C129" t="inlineStr">
        <is>
          <t>jose</t>
        </is>
      </c>
      <c r="D129" t="inlineStr">
        <is>
          <t>6.2.2</t>
        </is>
      </c>
      <c r="E129" t="inlineStr">
        <is>
          <t>MIT</t>
        </is>
      </c>
      <c r="F129" t="inlineStr">
        <is>
          <t>Syft scan (2026-07-02T06:42:43Z)</t>
        </is>
      </c>
    </row>
    <row r="130">
      <c r="A130" t="n">
        <v>129</v>
      </c>
      <c r="B130" t="inlineStr">
        <is>
          <t>python</t>
        </is>
      </c>
      <c r="C130" t="inlineStr">
        <is>
          <t>jsonpath-python</t>
        </is>
      </c>
      <c r="D130" t="inlineStr">
        <is>
          <t>1.1.6</t>
        </is>
      </c>
      <c r="E130" t="inlineStr">
        <is>
          <t>UNKNOWN</t>
        </is>
      </c>
      <c r="F130" t="inlineStr">
        <is>
          <t>Syft scan (2026-07-02T06:42:43Z)</t>
        </is>
      </c>
    </row>
    <row r="131">
      <c r="A131" t="n">
        <v>130</v>
      </c>
      <c r="B131" t="inlineStr">
        <is>
          <t>python</t>
        </is>
      </c>
      <c r="C131" t="inlineStr">
        <is>
          <t>jsonschema</t>
        </is>
      </c>
      <c r="D131" t="inlineStr">
        <is>
          <t>4.26.0</t>
        </is>
      </c>
      <c r="E131" t="inlineStr">
        <is>
          <t>UNKNOWN</t>
        </is>
      </c>
      <c r="F131" t="inlineStr">
        <is>
          <t>Syft scan (2026-07-02T06:42:43Z)</t>
        </is>
      </c>
    </row>
    <row r="132">
      <c r="A132" t="n">
        <v>131</v>
      </c>
      <c r="B132" t="inlineStr">
        <is>
          <t>python</t>
        </is>
      </c>
      <c r="C132" t="inlineStr">
        <is>
          <t>jsonschema-specifications</t>
        </is>
      </c>
      <c r="D132" t="inlineStr">
        <is>
          <t>2025.9.1</t>
        </is>
      </c>
      <c r="E132" t="inlineStr">
        <is>
          <t>UNKNOWN</t>
        </is>
      </c>
      <c r="F132" t="inlineStr">
        <is>
          <t>Syft scan (2026-07-02T06:42:43Z)</t>
        </is>
      </c>
    </row>
    <row r="133">
      <c r="A133" t="n">
        <v>132</v>
      </c>
      <c r="B133" t="inlineStr">
        <is>
          <t>python</t>
        </is>
      </c>
      <c r="C133" t="inlineStr">
        <is>
          <t>librt</t>
        </is>
      </c>
      <c r="D133" t="inlineStr">
        <is>
          <t>0.9.0</t>
        </is>
      </c>
      <c r="E133" t="inlineStr">
        <is>
          <t>UNKNOWN</t>
        </is>
      </c>
      <c r="F133" t="inlineStr">
        <is>
          <t>Syft scan (2026-07-02T06:42:43Z)</t>
        </is>
      </c>
    </row>
    <row r="134">
      <c r="A134" t="n">
        <v>133</v>
      </c>
      <c r="B134" t="inlineStr">
        <is>
          <t>python</t>
        </is>
      </c>
      <c r="C134" t="inlineStr">
        <is>
          <t>livekit</t>
        </is>
      </c>
      <c r="D134" t="inlineStr">
        <is>
          <t>1.1.5</t>
        </is>
      </c>
      <c r="E134" t="inlineStr">
        <is>
          <t>UNKNOWN</t>
        </is>
      </c>
      <c r="F134" t="inlineStr">
        <is>
          <t>Syft scan (2026-07-02T06:42:43Z)</t>
        </is>
      </c>
    </row>
    <row r="135">
      <c r="A135" t="n">
        <v>134</v>
      </c>
      <c r="B135" t="inlineStr">
        <is>
          <t>python</t>
        </is>
      </c>
      <c r="C135" t="inlineStr">
        <is>
          <t>livekit-agents</t>
        </is>
      </c>
      <c r="D135" t="inlineStr">
        <is>
          <t>1.5.6</t>
        </is>
      </c>
      <c r="E135" t="inlineStr">
        <is>
          <t>UNKNOWN</t>
        </is>
      </c>
      <c r="F135" t="inlineStr">
        <is>
          <t>Syft scan (2026-07-02T06:42:43Z)</t>
        </is>
      </c>
    </row>
    <row r="136">
      <c r="A136" t="n">
        <v>135</v>
      </c>
      <c r="B136" t="inlineStr">
        <is>
          <t>python</t>
        </is>
      </c>
      <c r="C136" t="inlineStr">
        <is>
          <t>livekit-api</t>
        </is>
      </c>
      <c r="D136" t="inlineStr">
        <is>
          <t>1.1.0</t>
        </is>
      </c>
      <c r="E136" t="inlineStr">
        <is>
          <t>UNKNOWN</t>
        </is>
      </c>
      <c r="F136" t="inlineStr">
        <is>
          <t>Syft scan (2026-07-02T06:42:43Z)</t>
        </is>
      </c>
    </row>
    <row r="137">
      <c r="A137" t="n">
        <v>136</v>
      </c>
      <c r="B137" t="inlineStr">
        <is>
          <t>python</t>
        </is>
      </c>
      <c r="C137" t="inlineStr">
        <is>
          <t>livekit-blingfire</t>
        </is>
      </c>
      <c r="D137" t="inlineStr">
        <is>
          <t>1.1.0</t>
        </is>
      </c>
      <c r="E137" t="inlineStr">
        <is>
          <t>UNKNOWN</t>
        </is>
      </c>
      <c r="F137" t="inlineStr">
        <is>
          <t>Syft scan (2026-07-02T06:42:43Z)</t>
        </is>
      </c>
    </row>
    <row r="138">
      <c r="A138" t="n">
        <v>137</v>
      </c>
      <c r="B138" t="inlineStr">
        <is>
          <t>npm</t>
        </is>
      </c>
      <c r="C138" t="inlineStr">
        <is>
          <t>livekit-client</t>
        </is>
      </c>
      <c r="D138" t="inlineStr">
        <is>
          <t>2.18.6</t>
        </is>
      </c>
      <c r="E138" t="inlineStr">
        <is>
          <t>Apache-2.0</t>
        </is>
      </c>
      <c r="F138" t="inlineStr">
        <is>
          <t>Syft scan (2026-07-02T06:42:43Z)</t>
        </is>
      </c>
    </row>
    <row r="139">
      <c r="A139" t="n">
        <v>138</v>
      </c>
      <c r="B139" t="inlineStr">
        <is>
          <t>python</t>
        </is>
      </c>
      <c r="C139" t="inlineStr">
        <is>
          <t>livekit-plugins-deepgram</t>
        </is>
      </c>
      <c r="D139" t="inlineStr">
        <is>
          <t>1.5.6</t>
        </is>
      </c>
      <c r="E139" t="inlineStr">
        <is>
          <t>UNKNOWN</t>
        </is>
      </c>
      <c r="F139" t="inlineStr">
        <is>
          <t>Syft scan (2026-07-02T06:42:43Z)</t>
        </is>
      </c>
    </row>
    <row r="140">
      <c r="A140" t="n">
        <v>139</v>
      </c>
      <c r="B140" t="inlineStr">
        <is>
          <t>python</t>
        </is>
      </c>
      <c r="C140" t="inlineStr">
        <is>
          <t>livekit-plugins-elevenlabs</t>
        </is>
      </c>
      <c r="D140" t="inlineStr">
        <is>
          <t>1.5.6</t>
        </is>
      </c>
      <c r="E140" t="inlineStr">
        <is>
          <t>UNKNOWN</t>
        </is>
      </c>
      <c r="F140" t="inlineStr">
        <is>
          <t>Syft scan (2026-07-02T06:42:43Z)</t>
        </is>
      </c>
    </row>
    <row r="141">
      <c r="A141" t="n">
        <v>140</v>
      </c>
      <c r="B141" t="inlineStr">
        <is>
          <t>python</t>
        </is>
      </c>
      <c r="C141" t="inlineStr">
        <is>
          <t>livekit-plugins-google</t>
        </is>
      </c>
      <c r="D141" t="inlineStr">
        <is>
          <t>1.5.6</t>
        </is>
      </c>
      <c r="E141" t="inlineStr">
        <is>
          <t>UNKNOWN</t>
        </is>
      </c>
      <c r="F141" t="inlineStr">
        <is>
          <t>Syft scan (2026-07-02T06:42:43Z)</t>
        </is>
      </c>
    </row>
    <row r="142">
      <c r="A142" t="n">
        <v>141</v>
      </c>
      <c r="B142" t="inlineStr">
        <is>
          <t>python</t>
        </is>
      </c>
      <c r="C142" t="inlineStr">
        <is>
          <t>livekit-plugins-openai</t>
        </is>
      </c>
      <c r="D142" t="inlineStr">
        <is>
          <t>1.5.6</t>
        </is>
      </c>
      <c r="E142" t="inlineStr">
        <is>
          <t>UNKNOWN</t>
        </is>
      </c>
      <c r="F142" t="inlineStr">
        <is>
          <t>Syft scan (2026-07-02T06:42:43Z)</t>
        </is>
      </c>
    </row>
    <row r="143">
      <c r="A143" t="n">
        <v>142</v>
      </c>
      <c r="B143" t="inlineStr">
        <is>
          <t>python</t>
        </is>
      </c>
      <c r="C143" t="inlineStr">
        <is>
          <t>livekit-plugins-silero</t>
        </is>
      </c>
      <c r="D143" t="inlineStr">
        <is>
          <t>1.5.6</t>
        </is>
      </c>
      <c r="E143" t="inlineStr">
        <is>
          <t>UNKNOWN</t>
        </is>
      </c>
      <c r="F143" t="inlineStr">
        <is>
          <t>Syft scan (2026-07-02T06:42:43Z)</t>
        </is>
      </c>
    </row>
    <row r="144">
      <c r="A144" t="n">
        <v>143</v>
      </c>
      <c r="B144" t="inlineStr">
        <is>
          <t>python</t>
        </is>
      </c>
      <c r="C144" t="inlineStr">
        <is>
          <t>livekit-protocol</t>
        </is>
      </c>
      <c r="D144" t="inlineStr">
        <is>
          <t>1.1.6</t>
        </is>
      </c>
      <c r="E144" t="inlineStr">
        <is>
          <t>UNKNOWN</t>
        </is>
      </c>
      <c r="F144" t="inlineStr">
        <is>
          <t>Syft scan (2026-07-02T06:42:43Z)</t>
        </is>
      </c>
    </row>
    <row r="145">
      <c r="A145" t="n">
        <v>144</v>
      </c>
      <c r="B145" t="inlineStr">
        <is>
          <t>npm</t>
        </is>
      </c>
      <c r="C145" t="inlineStr">
        <is>
          <t>lodash.debounce</t>
        </is>
      </c>
      <c r="D145" t="inlineStr">
        <is>
          <t>4.0.8</t>
        </is>
      </c>
      <c r="E145" t="inlineStr">
        <is>
          <t>MIT</t>
        </is>
      </c>
      <c r="F145" t="inlineStr">
        <is>
          <t>Syft scan (2026-07-02T06:42:43Z)</t>
        </is>
      </c>
    </row>
    <row r="146">
      <c r="A146" t="n">
        <v>145</v>
      </c>
      <c r="B146" t="inlineStr">
        <is>
          <t>npm</t>
        </is>
      </c>
      <c r="C146" t="inlineStr">
        <is>
          <t>loglevel</t>
        </is>
      </c>
      <c r="D146" t="inlineStr">
        <is>
          <t>1.9.1</t>
        </is>
      </c>
      <c r="E146" t="inlineStr">
        <is>
          <t>MIT</t>
        </is>
      </c>
      <c r="F146" t="inlineStr">
        <is>
          <t>Syft scan (2026-07-02T06:42:43Z)</t>
        </is>
      </c>
    </row>
    <row r="147">
      <c r="A147" t="n">
        <v>146</v>
      </c>
      <c r="B147" t="inlineStr">
        <is>
          <t>npm</t>
        </is>
      </c>
      <c r="C147" t="inlineStr">
        <is>
          <t>loglevel</t>
        </is>
      </c>
      <c r="D147" t="inlineStr">
        <is>
          <t>1.9.2</t>
        </is>
      </c>
      <c r="E147" t="inlineStr">
        <is>
          <t>MIT</t>
        </is>
      </c>
      <c r="F147" t="inlineStr">
        <is>
          <t>Syft scan (2026-07-02T06:42:43Z)</t>
        </is>
      </c>
    </row>
    <row r="148">
      <c r="A148" t="n">
        <v>147</v>
      </c>
      <c r="B148" t="inlineStr">
        <is>
          <t>npm</t>
        </is>
      </c>
      <c r="C148" t="inlineStr">
        <is>
          <t>lucide-react</t>
        </is>
      </c>
      <c r="D148" t="inlineStr">
        <is>
          <t>0.460.0</t>
        </is>
      </c>
      <c r="E148" t="inlineStr">
        <is>
          <t>ISC</t>
        </is>
      </c>
      <c r="F148" t="inlineStr">
        <is>
          <t>Syft scan (2026-07-02T06:42:43Z)</t>
        </is>
      </c>
    </row>
    <row r="149">
      <c r="A149" t="n">
        <v>148</v>
      </c>
      <c r="B149" t="inlineStr">
        <is>
          <t>python</t>
        </is>
      </c>
      <c r="C149" t="inlineStr">
        <is>
          <t>mako</t>
        </is>
      </c>
      <c r="D149" t="inlineStr">
        <is>
          <t>1.3.11</t>
        </is>
      </c>
      <c r="E149" t="inlineStr">
        <is>
          <t>UNKNOWN</t>
        </is>
      </c>
      <c r="F149" t="inlineStr">
        <is>
          <t>Syft scan (2026-07-02T06:42:43Z)</t>
        </is>
      </c>
    </row>
    <row r="150">
      <c r="A150" t="n">
        <v>149</v>
      </c>
      <c r="B150" t="inlineStr">
        <is>
          <t>python</t>
        </is>
      </c>
      <c r="C150" t="inlineStr">
        <is>
          <t>markdown-it-py</t>
        </is>
      </c>
      <c r="D150" t="inlineStr">
        <is>
          <t>4.0.0</t>
        </is>
      </c>
      <c r="E150" t="inlineStr">
        <is>
          <t>UNKNOWN</t>
        </is>
      </c>
      <c r="F150" t="inlineStr">
        <is>
          <t>Syft scan (2026-07-02T06:42:43Z)</t>
        </is>
      </c>
    </row>
    <row r="151">
      <c r="A151" t="n">
        <v>150</v>
      </c>
      <c r="B151" t="inlineStr">
        <is>
          <t>python</t>
        </is>
      </c>
      <c r="C151" t="inlineStr">
        <is>
          <t>markupsafe</t>
        </is>
      </c>
      <c r="D151" t="inlineStr">
        <is>
          <t>3.0.3</t>
        </is>
      </c>
      <c r="E151" t="inlineStr">
        <is>
          <t>UNKNOWN</t>
        </is>
      </c>
      <c r="F151" t="inlineStr">
        <is>
          <t>Syft scan (2026-07-02T06:42:43Z)</t>
        </is>
      </c>
    </row>
    <row r="152">
      <c r="A152" t="n">
        <v>151</v>
      </c>
      <c r="B152" t="inlineStr">
        <is>
          <t>python</t>
        </is>
      </c>
      <c r="C152" t="inlineStr">
        <is>
          <t>mdurl</t>
        </is>
      </c>
      <c r="D152" t="inlineStr">
        <is>
          <t>0.1.2</t>
        </is>
      </c>
      <c r="E152" t="inlineStr">
        <is>
          <t>UNKNOWN</t>
        </is>
      </c>
      <c r="F152" t="inlineStr">
        <is>
          <t>Syft scan (2026-07-02T06:42:43Z)</t>
        </is>
      </c>
    </row>
    <row r="153">
      <c r="A153" t="n">
        <v>152</v>
      </c>
      <c r="B153" t="inlineStr">
        <is>
          <t>python</t>
        </is>
      </c>
      <c r="C153" t="inlineStr">
        <is>
          <t>multidict</t>
        </is>
      </c>
      <c r="D153" t="inlineStr">
        <is>
          <t>6.7.1</t>
        </is>
      </c>
      <c r="E153" t="inlineStr">
        <is>
          <t>UNKNOWN</t>
        </is>
      </c>
      <c r="F153" t="inlineStr">
        <is>
          <t>Syft scan (2026-07-02T06:42:43Z)</t>
        </is>
      </c>
    </row>
    <row r="154">
      <c r="A154" t="n">
        <v>153</v>
      </c>
      <c r="B154" t="inlineStr">
        <is>
          <t>python</t>
        </is>
      </c>
      <c r="C154" t="inlineStr">
        <is>
          <t>mypy</t>
        </is>
      </c>
      <c r="D154" t="inlineStr">
        <is>
          <t>1.20.2</t>
        </is>
      </c>
      <c r="E154" t="inlineStr">
        <is>
          <t>UNKNOWN</t>
        </is>
      </c>
      <c r="F154" t="inlineStr">
        <is>
          <t>Syft scan (2026-07-02T06:42:43Z)</t>
        </is>
      </c>
    </row>
    <row r="155">
      <c r="A155" t="n">
        <v>154</v>
      </c>
      <c r="B155" t="inlineStr">
        <is>
          <t>python</t>
        </is>
      </c>
      <c r="C155" t="inlineStr">
        <is>
          <t>mypy-extensions</t>
        </is>
      </c>
      <c r="D155" t="inlineStr">
        <is>
          <t>1.1.0</t>
        </is>
      </c>
      <c r="E155" t="inlineStr">
        <is>
          <t>UNKNOWN</t>
        </is>
      </c>
      <c r="F155" t="inlineStr">
        <is>
          <t>Syft scan (2026-07-02T06:42:43Z)</t>
        </is>
      </c>
    </row>
    <row r="156">
      <c r="A156" t="n">
        <v>155</v>
      </c>
      <c r="B156" t="inlineStr">
        <is>
          <t>python</t>
        </is>
      </c>
      <c r="C156" t="inlineStr">
        <is>
          <t>nest-asyncio</t>
        </is>
      </c>
      <c r="D156" t="inlineStr">
        <is>
          <t>1.6.0</t>
        </is>
      </c>
      <c r="E156" t="inlineStr">
        <is>
          <t>UNKNOWN</t>
        </is>
      </c>
      <c r="F156" t="inlineStr">
        <is>
          <t>Syft scan (2026-07-02T06:42:43Z)</t>
        </is>
      </c>
    </row>
    <row r="157">
      <c r="A157" t="n">
        <v>156</v>
      </c>
      <c r="B157" t="inlineStr">
        <is>
          <t>npm</t>
        </is>
      </c>
      <c r="C157" t="inlineStr">
        <is>
          <t>next-themes</t>
        </is>
      </c>
      <c r="D157" t="inlineStr">
        <is>
          <t>0.4.6</t>
        </is>
      </c>
      <c r="E157" t="inlineStr">
        <is>
          <t>MIT</t>
        </is>
      </c>
      <c r="F157" t="inlineStr">
        <is>
          <t>Syft scan (2026-07-02T06:42:43Z)</t>
        </is>
      </c>
    </row>
    <row r="158">
      <c r="A158" t="n">
        <v>157</v>
      </c>
      <c r="B158" t="inlineStr">
        <is>
          <t>python</t>
        </is>
      </c>
      <c r="C158" t="inlineStr">
        <is>
          <t>nodeenv</t>
        </is>
      </c>
      <c r="D158" t="inlineStr">
        <is>
          <t>1.10.0</t>
        </is>
      </c>
      <c r="E158" t="inlineStr">
        <is>
          <t>UNKNOWN</t>
        </is>
      </c>
      <c r="F158" t="inlineStr">
        <is>
          <t>Syft scan (2026-07-02T06:42:43Z)</t>
        </is>
      </c>
    </row>
    <row r="159">
      <c r="A159" t="n">
        <v>158</v>
      </c>
      <c r="B159" t="inlineStr">
        <is>
          <t>python</t>
        </is>
      </c>
      <c r="C159" t="inlineStr">
        <is>
          <t>numpy</t>
        </is>
      </c>
      <c r="D159" t="inlineStr">
        <is>
          <t>2.4.4</t>
        </is>
      </c>
      <c r="E159" t="inlineStr">
        <is>
          <t>UNKNOWN</t>
        </is>
      </c>
      <c r="F159" t="inlineStr">
        <is>
          <t>Syft scan (2026-07-02T06:42:43Z)</t>
        </is>
      </c>
    </row>
    <row r="160">
      <c r="A160" t="n">
        <v>159</v>
      </c>
      <c r="B160" t="inlineStr">
        <is>
          <t>python</t>
        </is>
      </c>
      <c r="C160" t="inlineStr">
        <is>
          <t>onnxruntime</t>
        </is>
      </c>
      <c r="D160" t="inlineStr">
        <is>
          <t>1.25.0</t>
        </is>
      </c>
      <c r="E160" t="inlineStr">
        <is>
          <t>UNKNOWN</t>
        </is>
      </c>
      <c r="F160" t="inlineStr">
        <is>
          <t>Syft scan (2026-07-02T06:42:43Z)</t>
        </is>
      </c>
    </row>
    <row r="161">
      <c r="A161" t="n">
        <v>160</v>
      </c>
      <c r="B161" t="inlineStr">
        <is>
          <t>python</t>
        </is>
      </c>
      <c r="C161" t="inlineStr">
        <is>
          <t>openai</t>
        </is>
      </c>
      <c r="D161" t="inlineStr">
        <is>
          <t>2.32.0</t>
        </is>
      </c>
      <c r="E161" t="inlineStr">
        <is>
          <t>UNKNOWN</t>
        </is>
      </c>
      <c r="F161" t="inlineStr">
        <is>
          <t>Syft scan (2026-07-02T06:42:43Z)</t>
        </is>
      </c>
    </row>
    <row r="162">
      <c r="A162" t="n">
        <v>161</v>
      </c>
      <c r="B162" t="inlineStr">
        <is>
          <t>python</t>
        </is>
      </c>
      <c r="C162" t="inlineStr">
        <is>
          <t>openrouter</t>
        </is>
      </c>
      <c r="D162" t="inlineStr">
        <is>
          <t>0.10.0</t>
        </is>
      </c>
      <c r="E162" t="inlineStr">
        <is>
          <t>UNKNOWN</t>
        </is>
      </c>
      <c r="F162" t="inlineStr">
        <is>
          <t>Syft scan (2026-07-02T06:42:43Z)</t>
        </is>
      </c>
    </row>
    <row r="163">
      <c r="A163" t="n">
        <v>162</v>
      </c>
      <c r="B163" t="inlineStr">
        <is>
          <t>python</t>
        </is>
      </c>
      <c r="C163" t="inlineStr">
        <is>
          <t>opentelemetry-api</t>
        </is>
      </c>
      <c r="D163" t="inlineStr">
        <is>
          <t>1.39.1</t>
        </is>
      </c>
      <c r="E163" t="inlineStr">
        <is>
          <t>UNKNOWN</t>
        </is>
      </c>
      <c r="F163" t="inlineStr">
        <is>
          <t>Syft scan (2026-07-02T06:42:43Z)</t>
        </is>
      </c>
    </row>
    <row r="164">
      <c r="A164" t="n">
        <v>163</v>
      </c>
      <c r="B164" t="inlineStr">
        <is>
          <t>python</t>
        </is>
      </c>
      <c r="C164" t="inlineStr">
        <is>
          <t>opentelemetry-exporter-otlp</t>
        </is>
      </c>
      <c r="D164" t="inlineStr">
        <is>
          <t>1.39.1</t>
        </is>
      </c>
      <c r="E164" t="inlineStr">
        <is>
          <t>UNKNOWN</t>
        </is>
      </c>
      <c r="F164" t="inlineStr">
        <is>
          <t>Syft scan (2026-07-02T06:42:43Z)</t>
        </is>
      </c>
    </row>
    <row r="165">
      <c r="A165" t="n">
        <v>164</v>
      </c>
      <c r="B165" t="inlineStr">
        <is>
          <t>python</t>
        </is>
      </c>
      <c r="C165" t="inlineStr">
        <is>
          <t>opentelemetry-exporter-otlp-proto-common</t>
        </is>
      </c>
      <c r="D165" t="inlineStr">
        <is>
          <t>1.39.1</t>
        </is>
      </c>
      <c r="E165" t="inlineStr">
        <is>
          <t>UNKNOWN</t>
        </is>
      </c>
      <c r="F165" t="inlineStr">
        <is>
          <t>Syft scan (2026-07-02T06:42:43Z)</t>
        </is>
      </c>
    </row>
    <row r="166">
      <c r="A166" t="n">
        <v>165</v>
      </c>
      <c r="B166" t="inlineStr">
        <is>
          <t>python</t>
        </is>
      </c>
      <c r="C166" t="inlineStr">
        <is>
          <t>opentelemetry-exporter-otlp-proto-grpc</t>
        </is>
      </c>
      <c r="D166" t="inlineStr">
        <is>
          <t>1.39.1</t>
        </is>
      </c>
      <c r="E166" t="inlineStr">
        <is>
          <t>UNKNOWN</t>
        </is>
      </c>
      <c r="F166" t="inlineStr">
        <is>
          <t>Syft scan (2026-07-02T06:42:43Z)</t>
        </is>
      </c>
    </row>
    <row r="167">
      <c r="A167" t="n">
        <v>166</v>
      </c>
      <c r="B167" t="inlineStr">
        <is>
          <t>python</t>
        </is>
      </c>
      <c r="C167" t="inlineStr">
        <is>
          <t>opentelemetry-exporter-otlp-proto-http</t>
        </is>
      </c>
      <c r="D167" t="inlineStr">
        <is>
          <t>1.39.1</t>
        </is>
      </c>
      <c r="E167" t="inlineStr">
        <is>
          <t>UNKNOWN</t>
        </is>
      </c>
      <c r="F167" t="inlineStr">
        <is>
          <t>Syft scan (2026-07-02T06:42:43Z)</t>
        </is>
      </c>
    </row>
    <row r="168">
      <c r="A168" t="n">
        <v>167</v>
      </c>
      <c r="B168" t="inlineStr">
        <is>
          <t>python</t>
        </is>
      </c>
      <c r="C168" t="inlineStr">
        <is>
          <t>opentelemetry-proto</t>
        </is>
      </c>
      <c r="D168" t="inlineStr">
        <is>
          <t>1.39.1</t>
        </is>
      </c>
      <c r="E168" t="inlineStr">
        <is>
          <t>UNKNOWN</t>
        </is>
      </c>
      <c r="F168" t="inlineStr">
        <is>
          <t>Syft scan (2026-07-02T06:42:43Z)</t>
        </is>
      </c>
    </row>
    <row r="169">
      <c r="A169" t="n">
        <v>168</v>
      </c>
      <c r="B169" t="inlineStr">
        <is>
          <t>python</t>
        </is>
      </c>
      <c r="C169" t="inlineStr">
        <is>
          <t>opentelemetry-sdk</t>
        </is>
      </c>
      <c r="D169" t="inlineStr">
        <is>
          <t>1.39.1</t>
        </is>
      </c>
      <c r="E169" t="inlineStr">
        <is>
          <t>UNKNOWN</t>
        </is>
      </c>
      <c r="F169" t="inlineStr">
        <is>
          <t>Syft scan (2026-07-02T06:42:43Z)</t>
        </is>
      </c>
    </row>
    <row r="170">
      <c r="A170" t="n">
        <v>169</v>
      </c>
      <c r="B170" t="inlineStr">
        <is>
          <t>python</t>
        </is>
      </c>
      <c r="C170" t="inlineStr">
        <is>
          <t>opentelemetry-semantic-conventions</t>
        </is>
      </c>
      <c r="D170" t="inlineStr">
        <is>
          <t>0.60b1</t>
        </is>
      </c>
      <c r="E170" t="inlineStr">
        <is>
          <t>UNKNOWN</t>
        </is>
      </c>
      <c r="F170" t="inlineStr">
        <is>
          <t>Syft scan (2026-07-02T06:42:43Z)</t>
        </is>
      </c>
    </row>
    <row r="171">
      <c r="A171" t="n">
        <v>170</v>
      </c>
      <c r="B171" t="inlineStr">
        <is>
          <t>python</t>
        </is>
      </c>
      <c r="C171" t="inlineStr">
        <is>
          <t>packaging</t>
        </is>
      </c>
      <c r="D171" t="inlineStr">
        <is>
          <t>26.2</t>
        </is>
      </c>
      <c r="E171" t="inlineStr">
        <is>
          <t>UNKNOWN</t>
        </is>
      </c>
      <c r="F171" t="inlineStr">
        <is>
          <t>Syft scan (2026-07-02T06:42:43Z)</t>
        </is>
      </c>
    </row>
    <row r="172">
      <c r="A172" t="n">
        <v>171</v>
      </c>
      <c r="B172" t="inlineStr">
        <is>
          <t>python</t>
        </is>
      </c>
      <c r="C172" t="inlineStr">
        <is>
          <t>pathspec</t>
        </is>
      </c>
      <c r="D172" t="inlineStr">
        <is>
          <t>1.1.0</t>
        </is>
      </c>
      <c r="E172" t="inlineStr">
        <is>
          <t>UNKNOWN</t>
        </is>
      </c>
      <c r="F172" t="inlineStr">
        <is>
          <t>Syft scan (2026-07-02T06:42:43Z)</t>
        </is>
      </c>
    </row>
    <row r="173">
      <c r="A173" t="n">
        <v>172</v>
      </c>
      <c r="B173" t="inlineStr">
        <is>
          <t>python</t>
        </is>
      </c>
      <c r="C173" t="inlineStr">
        <is>
          <t>pillow</t>
        </is>
      </c>
      <c r="D173" t="inlineStr">
        <is>
          <t>12.2.0</t>
        </is>
      </c>
      <c r="E173" t="inlineStr">
        <is>
          <t>UNKNOWN</t>
        </is>
      </c>
      <c r="F173" t="inlineStr">
        <is>
          <t>Syft scan (2026-07-02T06:42:43Z)</t>
        </is>
      </c>
    </row>
    <row r="174">
      <c r="A174" t="n">
        <v>173</v>
      </c>
      <c r="B174" t="inlineStr">
        <is>
          <t>python</t>
        </is>
      </c>
      <c r="C174" t="inlineStr">
        <is>
          <t>platformdirs</t>
        </is>
      </c>
      <c r="D174" t="inlineStr">
        <is>
          <t>4.9.6</t>
        </is>
      </c>
      <c r="E174" t="inlineStr">
        <is>
          <t>UNKNOWN</t>
        </is>
      </c>
      <c r="F174" t="inlineStr">
        <is>
          <t>Syft scan (2026-07-02T06:42:43Z)</t>
        </is>
      </c>
    </row>
    <row r="175">
      <c r="A175" t="n">
        <v>174</v>
      </c>
      <c r="B175" t="inlineStr">
        <is>
          <t>python</t>
        </is>
      </c>
      <c r="C175" t="inlineStr">
        <is>
          <t>pluggy</t>
        </is>
      </c>
      <c r="D175" t="inlineStr">
        <is>
          <t>1.6.0</t>
        </is>
      </c>
      <c r="E175" t="inlineStr">
        <is>
          <t>UNKNOWN</t>
        </is>
      </c>
      <c r="F175" t="inlineStr">
        <is>
          <t>Syft scan (2026-07-02T06:42:43Z)</t>
        </is>
      </c>
    </row>
    <row r="176">
      <c r="A176" t="n">
        <v>175</v>
      </c>
      <c r="B176" t="inlineStr">
        <is>
          <t>python</t>
        </is>
      </c>
      <c r="C176" t="inlineStr">
        <is>
          <t>pre-commit</t>
        </is>
      </c>
      <c r="D176" t="inlineStr">
        <is>
          <t>4.6.0</t>
        </is>
      </c>
      <c r="E176" t="inlineStr">
        <is>
          <t>UNKNOWN</t>
        </is>
      </c>
      <c r="F176" t="inlineStr">
        <is>
          <t>Syft scan (2026-07-02T06:42:43Z)</t>
        </is>
      </c>
    </row>
    <row r="177">
      <c r="A177" t="n">
        <v>176</v>
      </c>
      <c r="B177" t="inlineStr">
        <is>
          <t>python</t>
        </is>
      </c>
      <c r="C177" t="inlineStr">
        <is>
          <t>prometheus-client</t>
        </is>
      </c>
      <c r="D177" t="inlineStr">
        <is>
          <t>0.22.1</t>
        </is>
      </c>
      <c r="E177" t="inlineStr">
        <is>
          <t>UNKNOWN</t>
        </is>
      </c>
      <c r="F177" t="inlineStr">
        <is>
          <t>Syft scan (2026-07-02T06:42:43Z)</t>
        </is>
      </c>
    </row>
    <row r="178">
      <c r="A178" t="n">
        <v>177</v>
      </c>
      <c r="B178" t="inlineStr">
        <is>
          <t>python</t>
        </is>
      </c>
      <c r="C178" t="inlineStr">
        <is>
          <t>prometheus-fastapi-instrumentator</t>
        </is>
      </c>
      <c r="D178" t="inlineStr">
        <is>
          <t>7.1.0</t>
        </is>
      </c>
      <c r="E178" t="inlineStr">
        <is>
          <t>UNKNOWN</t>
        </is>
      </c>
      <c r="F178" t="inlineStr">
        <is>
          <t>Syft scan (2026-07-02T06:42:43Z)</t>
        </is>
      </c>
    </row>
    <row r="179">
      <c r="A179" t="n">
        <v>178</v>
      </c>
      <c r="B179" t="inlineStr">
        <is>
          <t>python</t>
        </is>
      </c>
      <c r="C179" t="inlineStr">
        <is>
          <t>propcache</t>
        </is>
      </c>
      <c r="D179" t="inlineStr">
        <is>
          <t>0.4.1</t>
        </is>
      </c>
      <c r="E179" t="inlineStr">
        <is>
          <t>UNKNOWN</t>
        </is>
      </c>
      <c r="F179" t="inlineStr">
        <is>
          <t>Syft scan (2026-07-02T06:42:43Z)</t>
        </is>
      </c>
    </row>
    <row r="180">
      <c r="A180" t="n">
        <v>179</v>
      </c>
      <c r="B180" t="inlineStr">
        <is>
          <t>python</t>
        </is>
      </c>
      <c r="C180" t="inlineStr">
        <is>
          <t>proto-plus</t>
        </is>
      </c>
      <c r="D180" t="inlineStr">
        <is>
          <t>1.27.2</t>
        </is>
      </c>
      <c r="E180" t="inlineStr">
        <is>
          <t>UNKNOWN</t>
        </is>
      </c>
      <c r="F180" t="inlineStr">
        <is>
          <t>Syft scan (2026-07-02T06:42:43Z)</t>
        </is>
      </c>
    </row>
    <row r="181">
      <c r="A181" t="n">
        <v>180</v>
      </c>
      <c r="B181" t="inlineStr">
        <is>
          <t>python</t>
        </is>
      </c>
      <c r="C181" t="inlineStr">
        <is>
          <t>protobuf</t>
        </is>
      </c>
      <c r="D181" t="inlineStr">
        <is>
          <t>6.33.6</t>
        </is>
      </c>
      <c r="E181" t="inlineStr">
        <is>
          <t>UNKNOWN</t>
        </is>
      </c>
      <c r="F181" t="inlineStr">
        <is>
          <t>Syft scan (2026-07-02T06:42:43Z)</t>
        </is>
      </c>
    </row>
    <row r="182">
      <c r="A182" t="n">
        <v>181</v>
      </c>
      <c r="B182" t="inlineStr">
        <is>
          <t>python</t>
        </is>
      </c>
      <c r="C182" t="inlineStr">
        <is>
          <t>psutil</t>
        </is>
      </c>
      <c r="D182" t="inlineStr">
        <is>
          <t>7.2.2</t>
        </is>
      </c>
      <c r="E182" t="inlineStr">
        <is>
          <t>UNKNOWN</t>
        </is>
      </c>
      <c r="F182" t="inlineStr">
        <is>
          <t>Syft scan (2026-07-02T06:42:43Z)</t>
        </is>
      </c>
    </row>
    <row r="183">
      <c r="A183" t="n">
        <v>182</v>
      </c>
      <c r="B183" t="inlineStr">
        <is>
          <t>python</t>
        </is>
      </c>
      <c r="C183" t="inlineStr">
        <is>
          <t>psycopg</t>
        </is>
      </c>
      <c r="D183" t="inlineStr">
        <is>
          <t>3.3.3</t>
        </is>
      </c>
      <c r="E183" t="inlineStr">
        <is>
          <t>UNKNOWN</t>
        </is>
      </c>
      <c r="F183" t="inlineStr">
        <is>
          <t>Syft scan (2026-07-02T06:42:43Z)</t>
        </is>
      </c>
    </row>
    <row r="184">
      <c r="A184" t="n">
        <v>183</v>
      </c>
      <c r="B184" t="inlineStr">
        <is>
          <t>python</t>
        </is>
      </c>
      <c r="C184" t="inlineStr">
        <is>
          <t>psycopg-binary</t>
        </is>
      </c>
      <c r="D184" t="inlineStr">
        <is>
          <t>3.3.3</t>
        </is>
      </c>
      <c r="E184" t="inlineStr">
        <is>
          <t>UNKNOWN</t>
        </is>
      </c>
      <c r="F184" t="inlineStr">
        <is>
          <t>Syft scan (2026-07-02T06:42:43Z)</t>
        </is>
      </c>
    </row>
    <row r="185">
      <c r="A185" t="n">
        <v>184</v>
      </c>
      <c r="B185" t="inlineStr">
        <is>
          <t>python</t>
        </is>
      </c>
      <c r="C185" t="inlineStr">
        <is>
          <t>pyasn1</t>
        </is>
      </c>
      <c r="D185" t="inlineStr">
        <is>
          <t>0.6.3</t>
        </is>
      </c>
      <c r="E185" t="inlineStr">
        <is>
          <t>UNKNOWN</t>
        </is>
      </c>
      <c r="F185" t="inlineStr">
        <is>
          <t>Syft scan (2026-07-02T06:42:43Z)</t>
        </is>
      </c>
    </row>
    <row r="186">
      <c r="A186" t="n">
        <v>185</v>
      </c>
      <c r="B186" t="inlineStr">
        <is>
          <t>python</t>
        </is>
      </c>
      <c r="C186" t="inlineStr">
        <is>
          <t>pyasn1-modules</t>
        </is>
      </c>
      <c r="D186" t="inlineStr">
        <is>
          <t>0.4.2</t>
        </is>
      </c>
      <c r="E186" t="inlineStr">
        <is>
          <t>UNKNOWN</t>
        </is>
      </c>
      <c r="F186" t="inlineStr">
        <is>
          <t>Syft scan (2026-07-02T06:42:43Z)</t>
        </is>
      </c>
    </row>
    <row r="187">
      <c r="A187" t="n">
        <v>186</v>
      </c>
      <c r="B187" t="inlineStr">
        <is>
          <t>python</t>
        </is>
      </c>
      <c r="C187" t="inlineStr">
        <is>
          <t>pycparser</t>
        </is>
      </c>
      <c r="D187" t="inlineStr">
        <is>
          <t>3.0</t>
        </is>
      </c>
      <c r="E187" t="inlineStr">
        <is>
          <t>UNKNOWN</t>
        </is>
      </c>
      <c r="F187" t="inlineStr">
        <is>
          <t>Syft scan (2026-07-02T06:42:43Z)</t>
        </is>
      </c>
    </row>
    <row r="188">
      <c r="A188" t="n">
        <v>187</v>
      </c>
      <c r="B188" t="inlineStr">
        <is>
          <t>python</t>
        </is>
      </c>
      <c r="C188" t="inlineStr">
        <is>
          <t>pydantic</t>
        </is>
      </c>
      <c r="D188" t="inlineStr">
        <is>
          <t>2.13.3</t>
        </is>
      </c>
      <c r="E188" t="inlineStr">
        <is>
          <t>UNKNOWN</t>
        </is>
      </c>
      <c r="F188" t="inlineStr">
        <is>
          <t>Syft scan (2026-07-02T06:42:43Z)</t>
        </is>
      </c>
    </row>
    <row r="189">
      <c r="A189" t="n">
        <v>188</v>
      </c>
      <c r="B189" t="inlineStr">
        <is>
          <t>python</t>
        </is>
      </c>
      <c r="C189" t="inlineStr">
        <is>
          <t>pydantic-core</t>
        </is>
      </c>
      <c r="D189" t="inlineStr">
        <is>
          <t>2.46.3</t>
        </is>
      </c>
      <c r="E189" t="inlineStr">
        <is>
          <t>UNKNOWN</t>
        </is>
      </c>
      <c r="F189" t="inlineStr">
        <is>
          <t>Syft scan (2026-07-02T06:42:43Z)</t>
        </is>
      </c>
    </row>
    <row r="190">
      <c r="A190" t="n">
        <v>189</v>
      </c>
      <c r="B190" t="inlineStr">
        <is>
          <t>python</t>
        </is>
      </c>
      <c r="C190" t="inlineStr">
        <is>
          <t>pydantic-settings</t>
        </is>
      </c>
      <c r="D190" t="inlineStr">
        <is>
          <t>2.14.0</t>
        </is>
      </c>
      <c r="E190" t="inlineStr">
        <is>
          <t>UNKNOWN</t>
        </is>
      </c>
      <c r="F190" t="inlineStr">
        <is>
          <t>Syft scan (2026-07-02T06:42:43Z)</t>
        </is>
      </c>
    </row>
    <row r="191">
      <c r="A191" t="n">
        <v>190</v>
      </c>
      <c r="B191" t="inlineStr">
        <is>
          <t>python</t>
        </is>
      </c>
      <c r="C191" t="inlineStr">
        <is>
          <t>pygments</t>
        </is>
      </c>
      <c r="D191" t="inlineStr">
        <is>
          <t>2.20.0</t>
        </is>
      </c>
      <c r="E191" t="inlineStr">
        <is>
          <t>UNKNOWN</t>
        </is>
      </c>
      <c r="F191" t="inlineStr">
        <is>
          <t>Syft scan (2026-07-02T06:42:43Z)</t>
        </is>
      </c>
    </row>
    <row r="192">
      <c r="A192" t="n">
        <v>191</v>
      </c>
      <c r="B192" t="inlineStr">
        <is>
          <t>python</t>
        </is>
      </c>
      <c r="C192" t="inlineStr">
        <is>
          <t>pyjwt</t>
        </is>
      </c>
      <c r="D192" t="inlineStr">
        <is>
          <t>2.12.1</t>
        </is>
      </c>
      <c r="E192" t="inlineStr">
        <is>
          <t>UNKNOWN</t>
        </is>
      </c>
      <c r="F192" t="inlineStr">
        <is>
          <t>Syft scan (2026-07-02T06:42:43Z)</t>
        </is>
      </c>
    </row>
    <row r="193">
      <c r="A193" t="n">
        <v>192</v>
      </c>
      <c r="B193" t="inlineStr">
        <is>
          <t>python</t>
        </is>
      </c>
      <c r="C193" t="inlineStr">
        <is>
          <t>pytest</t>
        </is>
      </c>
      <c r="D193" t="inlineStr">
        <is>
          <t>8.4.2</t>
        </is>
      </c>
      <c r="E193" t="inlineStr">
        <is>
          <t>UNKNOWN</t>
        </is>
      </c>
      <c r="F193" t="inlineStr">
        <is>
          <t>Syft scan (2026-07-02T06:42:43Z)</t>
        </is>
      </c>
    </row>
    <row r="194">
      <c r="A194" t="n">
        <v>193</v>
      </c>
      <c r="B194" t="inlineStr">
        <is>
          <t>python</t>
        </is>
      </c>
      <c r="C194" t="inlineStr">
        <is>
          <t>pytest-asyncio</t>
        </is>
      </c>
      <c r="D194" t="inlineStr">
        <is>
          <t>0.24.0</t>
        </is>
      </c>
      <c r="E194" t="inlineStr">
        <is>
          <t>UNKNOWN</t>
        </is>
      </c>
      <c r="F194" t="inlineStr">
        <is>
          <t>Syft scan (2026-07-02T06:42:43Z)</t>
        </is>
      </c>
    </row>
    <row r="195">
      <c r="A195" t="n">
        <v>194</v>
      </c>
      <c r="B195" t="inlineStr">
        <is>
          <t>python</t>
        </is>
      </c>
      <c r="C195" t="inlineStr">
        <is>
          <t>python-discovery</t>
        </is>
      </c>
      <c r="D195" t="inlineStr">
        <is>
          <t>1.2.2</t>
        </is>
      </c>
      <c r="E195" t="inlineStr">
        <is>
          <t>UNKNOWN</t>
        </is>
      </c>
      <c r="F195" t="inlineStr">
        <is>
          <t>Syft scan (2026-07-02T06:42:43Z)</t>
        </is>
      </c>
    </row>
    <row r="196">
      <c r="A196" t="n">
        <v>195</v>
      </c>
      <c r="B196" t="inlineStr">
        <is>
          <t>python</t>
        </is>
      </c>
      <c r="C196" t="inlineStr">
        <is>
          <t>python-dotenv</t>
        </is>
      </c>
      <c r="D196" t="inlineStr">
        <is>
          <t>1.2.2</t>
        </is>
      </c>
      <c r="E196" t="inlineStr">
        <is>
          <t>UNKNOWN</t>
        </is>
      </c>
      <c r="F196" t="inlineStr">
        <is>
          <t>Syft scan (2026-07-02T06:42:43Z)</t>
        </is>
      </c>
    </row>
    <row r="197">
      <c r="A197" t="n">
        <v>196</v>
      </c>
      <c r="B197" t="inlineStr">
        <is>
          <t>python</t>
        </is>
      </c>
      <c r="C197" t="inlineStr">
        <is>
          <t>pyyaml</t>
        </is>
      </c>
      <c r="D197" t="inlineStr">
        <is>
          <t>6.0.3</t>
        </is>
      </c>
      <c r="E197" t="inlineStr">
        <is>
          <t>UNKNOWN</t>
        </is>
      </c>
      <c r="F197" t="inlineStr">
        <is>
          <t>Syft scan (2026-07-02T06:42:43Z)</t>
        </is>
      </c>
    </row>
    <row r="198">
      <c r="A198" t="n">
        <v>197</v>
      </c>
      <c r="B198" t="inlineStr">
        <is>
          <t>npm</t>
        </is>
      </c>
      <c r="C198" t="inlineStr">
        <is>
          <t>radix-ui</t>
        </is>
      </c>
      <c r="D198" t="inlineStr">
        <is>
          <t>1.4.3</t>
        </is>
      </c>
      <c r="E198" t="inlineStr">
        <is>
          <t>MIT</t>
        </is>
      </c>
      <c r="F198" t="inlineStr">
        <is>
          <t>Syft scan (2026-07-02T06:42:43Z)</t>
        </is>
      </c>
    </row>
    <row r="199">
      <c r="A199" t="n">
        <v>198</v>
      </c>
      <c r="B199" t="inlineStr">
        <is>
          <t>npm</t>
        </is>
      </c>
      <c r="C199" t="inlineStr">
        <is>
          <t>react</t>
        </is>
      </c>
      <c r="D199" t="inlineStr">
        <is>
          <t>19.2.5</t>
        </is>
      </c>
      <c r="E199" t="inlineStr">
        <is>
          <t>MIT</t>
        </is>
      </c>
      <c r="F199" t="inlineStr">
        <is>
          <t>Syft scan (2026-07-02T06:42:43Z)</t>
        </is>
      </c>
    </row>
    <row r="200">
      <c r="A200" t="n">
        <v>199</v>
      </c>
      <c r="B200" t="inlineStr">
        <is>
          <t>npm</t>
        </is>
      </c>
      <c r="C200" t="inlineStr">
        <is>
          <t>react-dom</t>
        </is>
      </c>
      <c r="D200" t="inlineStr">
        <is>
          <t>19.2.5</t>
        </is>
      </c>
      <c r="E200" t="inlineStr">
        <is>
          <t>MIT</t>
        </is>
      </c>
      <c r="F200" t="inlineStr">
        <is>
          <t>Syft scan (2026-07-02T06:42:43Z)</t>
        </is>
      </c>
    </row>
    <row r="201">
      <c r="A201" t="n">
        <v>200</v>
      </c>
      <c r="B201" t="inlineStr">
        <is>
          <t>npm</t>
        </is>
      </c>
      <c r="C201" t="inlineStr">
        <is>
          <t>react-remove-scroll</t>
        </is>
      </c>
      <c r="D201" t="inlineStr">
        <is>
          <t>2.7.2</t>
        </is>
      </c>
      <c r="E201" t="inlineStr">
        <is>
          <t>MIT</t>
        </is>
      </c>
      <c r="F201" t="inlineStr">
        <is>
          <t>Syft scan (2026-07-02T06:42:43Z)</t>
        </is>
      </c>
    </row>
    <row r="202">
      <c r="A202" t="n">
        <v>201</v>
      </c>
      <c r="B202" t="inlineStr">
        <is>
          <t>npm</t>
        </is>
      </c>
      <c r="C202" t="inlineStr">
        <is>
          <t>react-remove-scroll-bar</t>
        </is>
      </c>
      <c r="D202" t="inlineStr">
        <is>
          <t>2.3.8</t>
        </is>
      </c>
      <c r="E202" t="inlineStr">
        <is>
          <t>MIT</t>
        </is>
      </c>
      <c r="F202" t="inlineStr">
        <is>
          <t>Syft scan (2026-07-02T06:42:43Z)</t>
        </is>
      </c>
    </row>
    <row r="203">
      <c r="A203" t="n">
        <v>202</v>
      </c>
      <c r="B203" t="inlineStr">
        <is>
          <t>npm</t>
        </is>
      </c>
      <c r="C203" t="inlineStr">
        <is>
          <t>react-router</t>
        </is>
      </c>
      <c r="D203" t="inlineStr">
        <is>
          <t>7.14.2</t>
        </is>
      </c>
      <c r="E203" t="inlineStr">
        <is>
          <t>MIT</t>
        </is>
      </c>
      <c r="F203" t="inlineStr">
        <is>
          <t>Syft scan (2026-07-02T06:42:43Z)</t>
        </is>
      </c>
    </row>
    <row r="204">
      <c r="A204" t="n">
        <v>203</v>
      </c>
      <c r="B204" t="inlineStr">
        <is>
          <t>npm</t>
        </is>
      </c>
      <c r="C204" t="inlineStr">
        <is>
          <t>react-router-dom</t>
        </is>
      </c>
      <c r="D204" t="inlineStr">
        <is>
          <t>7.14.2</t>
        </is>
      </c>
      <c r="E204" t="inlineStr">
        <is>
          <t>MIT</t>
        </is>
      </c>
      <c r="F204" t="inlineStr">
        <is>
          <t>Syft scan (2026-07-02T06:42:43Z)</t>
        </is>
      </c>
    </row>
    <row r="205">
      <c r="A205" t="n">
        <v>204</v>
      </c>
      <c r="B205" t="inlineStr">
        <is>
          <t>npm</t>
        </is>
      </c>
      <c r="C205" t="inlineStr">
        <is>
          <t>react-style-singleton</t>
        </is>
      </c>
      <c r="D205" t="inlineStr">
        <is>
          <t>2.2.3</t>
        </is>
      </c>
      <c r="E205" t="inlineStr">
        <is>
          <t>MIT</t>
        </is>
      </c>
      <c r="F205" t="inlineStr">
        <is>
          <t>Syft scan (2026-07-02T06:42:43Z)</t>
        </is>
      </c>
    </row>
    <row r="206">
      <c r="A206" t="n">
        <v>205</v>
      </c>
      <c r="B206" t="inlineStr">
        <is>
          <t>python</t>
        </is>
      </c>
      <c r="C206" t="inlineStr">
        <is>
          <t>referencing</t>
        </is>
      </c>
      <c r="D206" t="inlineStr">
        <is>
          <t>0.37.0</t>
        </is>
      </c>
      <c r="E206" t="inlineStr">
        <is>
          <t>UNKNOWN</t>
        </is>
      </c>
      <c r="F206" t="inlineStr">
        <is>
          <t>Syft scan (2026-07-02T06:42:43Z)</t>
        </is>
      </c>
    </row>
    <row r="207">
      <c r="A207" t="n">
        <v>206</v>
      </c>
      <c r="B207" t="inlineStr">
        <is>
          <t>python</t>
        </is>
      </c>
      <c r="C207" t="inlineStr">
        <is>
          <t>requests</t>
        </is>
      </c>
      <c r="D207" t="inlineStr">
        <is>
          <t>2.33.1</t>
        </is>
      </c>
      <c r="E207" t="inlineStr">
        <is>
          <t>UNKNOWN</t>
        </is>
      </c>
      <c r="F207" t="inlineStr">
        <is>
          <t>Syft scan (2026-07-02T06:42:43Z)</t>
        </is>
      </c>
    </row>
    <row r="208">
      <c r="A208" t="n">
        <v>207</v>
      </c>
      <c r="B208" t="inlineStr">
        <is>
          <t>python</t>
        </is>
      </c>
      <c r="C208" t="inlineStr">
        <is>
          <t>rich</t>
        </is>
      </c>
      <c r="D208" t="inlineStr">
        <is>
          <t>15.0.0</t>
        </is>
      </c>
      <c r="E208" t="inlineStr">
        <is>
          <t>UNKNOWN</t>
        </is>
      </c>
      <c r="F208" t="inlineStr">
        <is>
          <t>Syft scan (2026-07-02T06:42:43Z)</t>
        </is>
      </c>
    </row>
    <row r="209">
      <c r="A209" t="n">
        <v>208</v>
      </c>
      <c r="B209" t="inlineStr">
        <is>
          <t>python</t>
        </is>
      </c>
      <c r="C209" t="inlineStr">
        <is>
          <t>rpds-py</t>
        </is>
      </c>
      <c r="D209" t="inlineStr">
        <is>
          <t>0.30.0</t>
        </is>
      </c>
      <c r="E209" t="inlineStr">
        <is>
          <t>UNKNOWN</t>
        </is>
      </c>
      <c r="F209" t="inlineStr">
        <is>
          <t>Syft scan (2026-07-02T06:42:43Z)</t>
        </is>
      </c>
    </row>
    <row r="210">
      <c r="A210" t="n">
        <v>209</v>
      </c>
      <c r="B210" t="inlineStr">
        <is>
          <t>python</t>
        </is>
      </c>
      <c r="C210" t="inlineStr">
        <is>
          <t>ruff</t>
        </is>
      </c>
      <c r="D210" t="inlineStr">
        <is>
          <t>0.7.4</t>
        </is>
      </c>
      <c r="E210" t="inlineStr">
        <is>
          <t>UNKNOWN</t>
        </is>
      </c>
      <c r="F210" t="inlineStr">
        <is>
          <t>Syft scan (2026-07-02T06:42:43Z)</t>
        </is>
      </c>
    </row>
    <row r="211">
      <c r="A211" t="n">
        <v>210</v>
      </c>
      <c r="B211" t="inlineStr">
        <is>
          <t>npm</t>
        </is>
      </c>
      <c r="C211" t="inlineStr">
        <is>
          <t>rxjs</t>
        </is>
      </c>
      <c r="D211" t="inlineStr">
        <is>
          <t>7.8.2</t>
        </is>
      </c>
      <c r="E211" t="inlineStr">
        <is>
          <t>Apache-2.0</t>
        </is>
      </c>
      <c r="F211" t="inlineStr">
        <is>
          <t>Syft scan (2026-07-02T06:42:43Z)</t>
        </is>
      </c>
    </row>
    <row r="212">
      <c r="A212" t="n">
        <v>211</v>
      </c>
      <c r="B212" t="inlineStr">
        <is>
          <t>npm</t>
        </is>
      </c>
      <c r="C212" t="inlineStr">
        <is>
          <t>scheduler</t>
        </is>
      </c>
      <c r="D212" t="inlineStr">
        <is>
          <t>0.27.0</t>
        </is>
      </c>
      <c r="E212" t="inlineStr">
        <is>
          <t>MIT</t>
        </is>
      </c>
      <c r="F212" t="inlineStr">
        <is>
          <t>Syft scan (2026-07-02T06:42:43Z)</t>
        </is>
      </c>
    </row>
    <row r="213">
      <c r="A213" t="n">
        <v>212</v>
      </c>
      <c r="B213" t="inlineStr">
        <is>
          <t>npm</t>
        </is>
      </c>
      <c r="C213" t="inlineStr">
        <is>
          <t>sdp</t>
        </is>
      </c>
      <c r="D213" t="inlineStr">
        <is>
          <t>3.2.2</t>
        </is>
      </c>
      <c r="E213" t="inlineStr">
        <is>
          <t>MIT</t>
        </is>
      </c>
      <c r="F213" t="inlineStr">
        <is>
          <t>Syft scan (2026-07-02T06:42:43Z)</t>
        </is>
      </c>
    </row>
    <row r="214">
      <c r="A214" t="n">
        <v>213</v>
      </c>
      <c r="B214" t="inlineStr">
        <is>
          <t>npm</t>
        </is>
      </c>
      <c r="C214" t="inlineStr">
        <is>
          <t>sdp-transform</t>
        </is>
      </c>
      <c r="D214" t="inlineStr">
        <is>
          <t>2.15.0</t>
        </is>
      </c>
      <c r="E214" t="inlineStr">
        <is>
          <t>MIT</t>
        </is>
      </c>
      <c r="F214" t="inlineStr">
        <is>
          <t>Syft scan (2026-07-02T06:42:43Z)</t>
        </is>
      </c>
    </row>
    <row r="215">
      <c r="A215" t="n">
        <v>214</v>
      </c>
      <c r="B215" t="inlineStr">
        <is>
          <t>npm</t>
        </is>
      </c>
      <c r="C215" t="inlineStr">
        <is>
          <t>set-cookie-parser</t>
        </is>
      </c>
      <c r="D215" t="inlineStr">
        <is>
          <t>2.7.2</t>
        </is>
      </c>
      <c r="E215" t="inlineStr">
        <is>
          <t>MIT</t>
        </is>
      </c>
      <c r="F215" t="inlineStr">
        <is>
          <t>Syft scan (2026-07-02T06:42:43Z)</t>
        </is>
      </c>
    </row>
    <row r="216">
      <c r="A216" t="n">
        <v>215</v>
      </c>
      <c r="B216" t="inlineStr">
        <is>
          <t>python</t>
        </is>
      </c>
      <c r="C216" t="inlineStr">
        <is>
          <t>shellingham</t>
        </is>
      </c>
      <c r="D216" t="inlineStr">
        <is>
          <t>1.5.4</t>
        </is>
      </c>
      <c r="E216" t="inlineStr">
        <is>
          <t>UNKNOWN</t>
        </is>
      </c>
      <c r="F216" t="inlineStr">
        <is>
          <t>Syft scan (2026-07-02T06:42:43Z)</t>
        </is>
      </c>
    </row>
    <row r="217">
      <c r="A217" t="n">
        <v>216</v>
      </c>
      <c r="B217" t="inlineStr">
        <is>
          <t>python</t>
        </is>
      </c>
      <c r="C217" t="inlineStr">
        <is>
          <t>sniffio</t>
        </is>
      </c>
      <c r="D217" t="inlineStr">
        <is>
          <t>1.3.1</t>
        </is>
      </c>
      <c r="E217" t="inlineStr">
        <is>
          <t>UNKNOWN</t>
        </is>
      </c>
      <c r="F217" t="inlineStr">
        <is>
          <t>Syft scan (2026-07-02T06:42:43Z)</t>
        </is>
      </c>
    </row>
    <row r="218">
      <c r="A218" t="n">
        <v>217</v>
      </c>
      <c r="B218" t="inlineStr">
        <is>
          <t>npm</t>
        </is>
      </c>
      <c r="C218" t="inlineStr">
        <is>
          <t>sonner</t>
        </is>
      </c>
      <c r="D218" t="inlineStr">
        <is>
          <t>2.0.7</t>
        </is>
      </c>
      <c r="E218" t="inlineStr">
        <is>
          <t>MIT</t>
        </is>
      </c>
      <c r="F218" t="inlineStr">
        <is>
          <t>Syft scan (2026-07-02T06:42:43Z)</t>
        </is>
      </c>
    </row>
    <row r="219">
      <c r="A219" t="n">
        <v>218</v>
      </c>
      <c r="B219" t="inlineStr">
        <is>
          <t>python</t>
        </is>
      </c>
      <c r="C219" t="inlineStr">
        <is>
          <t>sounddevice</t>
        </is>
      </c>
      <c r="D219" t="inlineStr">
        <is>
          <t>0.5.5</t>
        </is>
      </c>
      <c r="E219" t="inlineStr">
        <is>
          <t>UNKNOWN</t>
        </is>
      </c>
      <c r="F219" t="inlineStr">
        <is>
          <t>Syft scan (2026-07-02T06:42:43Z)</t>
        </is>
      </c>
    </row>
    <row r="220">
      <c r="A220" t="n">
        <v>219</v>
      </c>
      <c r="B220" t="inlineStr">
        <is>
          <t>python</t>
        </is>
      </c>
      <c r="C220" t="inlineStr">
        <is>
          <t>sqlalchemy</t>
        </is>
      </c>
      <c r="D220" t="inlineStr">
        <is>
          <t>2.0.49</t>
        </is>
      </c>
      <c r="E220" t="inlineStr">
        <is>
          <t>UNKNOWN</t>
        </is>
      </c>
      <c r="F220" t="inlineStr">
        <is>
          <t>Syft scan (2026-07-02T06:42:43Z)</t>
        </is>
      </c>
    </row>
    <row r="221">
      <c r="A221" t="n">
        <v>220</v>
      </c>
      <c r="B221" t="inlineStr">
        <is>
          <t>python</t>
        </is>
      </c>
      <c r="C221" t="inlineStr">
        <is>
          <t>starlette</t>
        </is>
      </c>
      <c r="D221" t="inlineStr">
        <is>
          <t>0.46.2</t>
        </is>
      </c>
      <c r="E221" t="inlineStr">
        <is>
          <t>UNKNOWN</t>
        </is>
      </c>
      <c r="F221" t="inlineStr">
        <is>
          <t>Syft scan (2026-07-02T06:42:43Z)</t>
        </is>
      </c>
    </row>
    <row r="222">
      <c r="A222" t="n">
        <v>221</v>
      </c>
      <c r="B222" t="inlineStr">
        <is>
          <t>python</t>
        </is>
      </c>
      <c r="C222" t="inlineStr">
        <is>
          <t>structlog</t>
        </is>
      </c>
      <c r="D222" t="inlineStr">
        <is>
          <t>24.4.0</t>
        </is>
      </c>
      <c r="E222" t="inlineStr">
        <is>
          <t>UNKNOWN</t>
        </is>
      </c>
      <c r="F222" t="inlineStr">
        <is>
          <t>Syft scan (2026-07-02T06:42:43Z)</t>
        </is>
      </c>
    </row>
    <row r="223">
      <c r="A223" t="n">
        <v>222</v>
      </c>
      <c r="B223" t="inlineStr">
        <is>
          <t>npm</t>
        </is>
      </c>
      <c r="C223" t="inlineStr">
        <is>
          <t>tailwind-merge</t>
        </is>
      </c>
      <c r="D223" t="inlineStr">
        <is>
          <t>2.6.1</t>
        </is>
      </c>
      <c r="E223" t="inlineStr">
        <is>
          <t>MIT</t>
        </is>
      </c>
      <c r="F223" t="inlineStr">
        <is>
          <t>Syft scan (2026-07-02T06:42:43Z)</t>
        </is>
      </c>
    </row>
    <row r="224">
      <c r="A224" t="n">
        <v>223</v>
      </c>
      <c r="B224" t="inlineStr">
        <is>
          <t>npm</t>
        </is>
      </c>
      <c r="C224" t="inlineStr">
        <is>
          <t>taskorbit-frontend</t>
        </is>
      </c>
      <c r="D224" t="inlineStr">
        <is>
          <t>0.1.0</t>
        </is>
      </c>
      <c r="E224" t="inlineStr">
        <is>
          <t>UNKNOWN</t>
        </is>
      </c>
      <c r="F224" t="inlineStr">
        <is>
          <t>Syft scan (2026-07-02T06:42:43Z)</t>
        </is>
      </c>
    </row>
    <row r="225">
      <c r="A225" t="n">
        <v>224</v>
      </c>
      <c r="B225" t="inlineStr">
        <is>
          <t>python</t>
        </is>
      </c>
      <c r="C225" t="inlineStr">
        <is>
          <t>tenacity</t>
        </is>
      </c>
      <c r="D225" t="inlineStr">
        <is>
          <t>9.1.4</t>
        </is>
      </c>
      <c r="E225" t="inlineStr">
        <is>
          <t>UNKNOWN</t>
        </is>
      </c>
      <c r="F225" t="inlineStr">
        <is>
          <t>Syft scan (2026-07-02T06:42:43Z)</t>
        </is>
      </c>
    </row>
    <row r="226">
      <c r="A226" t="n">
        <v>225</v>
      </c>
      <c r="B226" t="inlineStr">
        <is>
          <t>python</t>
        </is>
      </c>
      <c r="C226" t="inlineStr">
        <is>
          <t>tqdm</t>
        </is>
      </c>
      <c r="D226" t="inlineStr">
        <is>
          <t>4.67.3</t>
        </is>
      </c>
      <c r="E226" t="inlineStr">
        <is>
          <t>UNKNOWN</t>
        </is>
      </c>
      <c r="F226" t="inlineStr">
        <is>
          <t>Syft scan (2026-07-02T06:42:43Z)</t>
        </is>
      </c>
    </row>
    <row r="227">
      <c r="A227" t="n">
        <v>226</v>
      </c>
      <c r="B227" t="inlineStr">
        <is>
          <t>npm</t>
        </is>
      </c>
      <c r="C227" t="inlineStr">
        <is>
          <t>tslib</t>
        </is>
      </c>
      <c r="D227" t="inlineStr">
        <is>
          <t>2.8.1</t>
        </is>
      </c>
      <c r="E227" t="inlineStr">
        <is>
          <t>0BSD</t>
        </is>
      </c>
      <c r="F227" t="inlineStr">
        <is>
          <t>Syft scan (2026-07-02T06:42:43Z)</t>
        </is>
      </c>
    </row>
    <row r="228">
      <c r="A228" t="n">
        <v>227</v>
      </c>
      <c r="B228" t="inlineStr">
        <is>
          <t>npm</t>
        </is>
      </c>
      <c r="C228" t="inlineStr">
        <is>
          <t>typed-emitter</t>
        </is>
      </c>
      <c r="D228" t="inlineStr">
        <is>
          <t>2.1.0</t>
        </is>
      </c>
      <c r="E228" t="inlineStr">
        <is>
          <t>MIT</t>
        </is>
      </c>
      <c r="F228" t="inlineStr">
        <is>
          <t>Syft scan (2026-07-02T06:42:43Z)</t>
        </is>
      </c>
    </row>
    <row r="229">
      <c r="A229" t="n">
        <v>228</v>
      </c>
      <c r="B229" t="inlineStr">
        <is>
          <t>python</t>
        </is>
      </c>
      <c r="C229" t="inlineStr">
        <is>
          <t>typer</t>
        </is>
      </c>
      <c r="D229" t="inlineStr">
        <is>
          <t>0.25.0</t>
        </is>
      </c>
      <c r="E229" t="inlineStr">
        <is>
          <t>UNKNOWN</t>
        </is>
      </c>
      <c r="F229" t="inlineStr">
        <is>
          <t>Syft scan (2026-07-02T06:42:43Z)</t>
        </is>
      </c>
    </row>
    <row r="230">
      <c r="A230" t="n">
        <v>229</v>
      </c>
      <c r="B230" t="inlineStr">
        <is>
          <t>python</t>
        </is>
      </c>
      <c r="C230" t="inlineStr">
        <is>
          <t>types-protobuf</t>
        </is>
      </c>
      <c r="D230" t="inlineStr">
        <is>
          <t>7.34.1.20260408</t>
        </is>
      </c>
      <c r="E230" t="inlineStr">
        <is>
          <t>UNKNOWN</t>
        </is>
      </c>
      <c r="F230" t="inlineStr">
        <is>
          <t>Syft scan (2026-07-02T06:42:43Z)</t>
        </is>
      </c>
    </row>
    <row r="231">
      <c r="A231" t="n">
        <v>230</v>
      </c>
      <c r="B231" t="inlineStr">
        <is>
          <t>python</t>
        </is>
      </c>
      <c r="C231" t="inlineStr">
        <is>
          <t>typing-extensions</t>
        </is>
      </c>
      <c r="D231" t="inlineStr">
        <is>
          <t>4.15.0</t>
        </is>
      </c>
      <c r="E231" t="inlineStr">
        <is>
          <t>UNKNOWN</t>
        </is>
      </c>
      <c r="F231" t="inlineStr">
        <is>
          <t>Syft scan (2026-07-02T06:42:43Z)</t>
        </is>
      </c>
    </row>
    <row r="232">
      <c r="A232" t="n">
        <v>231</v>
      </c>
      <c r="B232" t="inlineStr">
        <is>
          <t>python</t>
        </is>
      </c>
      <c r="C232" t="inlineStr">
        <is>
          <t>typing-inspection</t>
        </is>
      </c>
      <c r="D232" t="inlineStr">
        <is>
          <t>0.4.2</t>
        </is>
      </c>
      <c r="E232" t="inlineStr">
        <is>
          <t>UNKNOWN</t>
        </is>
      </c>
      <c r="F232" t="inlineStr">
        <is>
          <t>Syft scan (2026-07-02T06:42:43Z)</t>
        </is>
      </c>
    </row>
    <row r="233">
      <c r="A233" t="n">
        <v>232</v>
      </c>
      <c r="B233" t="inlineStr">
        <is>
          <t>python</t>
        </is>
      </c>
      <c r="C233" t="inlineStr">
        <is>
          <t>tzdata</t>
        </is>
      </c>
      <c r="D233" t="inlineStr">
        <is>
          <t>2026.2</t>
        </is>
      </c>
      <c r="E233" t="inlineStr">
        <is>
          <t>UNKNOWN</t>
        </is>
      </c>
      <c r="F233" t="inlineStr">
        <is>
          <t>Syft scan (2026-07-02T06:42:43Z)</t>
        </is>
      </c>
    </row>
    <row r="234">
      <c r="A234" t="n">
        <v>233</v>
      </c>
      <c r="B234" t="inlineStr">
        <is>
          <t>python</t>
        </is>
      </c>
      <c r="C234" t="inlineStr">
        <is>
          <t>urllib3</t>
        </is>
      </c>
      <c r="D234" t="inlineStr">
        <is>
          <t>2.6.3</t>
        </is>
      </c>
      <c r="E234" t="inlineStr">
        <is>
          <t>UNKNOWN</t>
        </is>
      </c>
      <c r="F234" t="inlineStr">
        <is>
          <t>Syft scan (2026-07-02T06:42:43Z)</t>
        </is>
      </c>
    </row>
    <row r="235">
      <c r="A235" t="n">
        <v>234</v>
      </c>
      <c r="B235" t="inlineStr">
        <is>
          <t>npm</t>
        </is>
      </c>
      <c r="C235" t="inlineStr">
        <is>
          <t>use-callback-ref</t>
        </is>
      </c>
      <c r="D235" t="inlineStr">
        <is>
          <t>1.3.3</t>
        </is>
      </c>
      <c r="E235" t="inlineStr">
        <is>
          <t>MIT</t>
        </is>
      </c>
      <c r="F235" t="inlineStr">
        <is>
          <t>Syft scan (2026-07-02T06:42:43Z)</t>
        </is>
      </c>
    </row>
    <row r="236">
      <c r="A236" t="n">
        <v>235</v>
      </c>
      <c r="B236" t="inlineStr">
        <is>
          <t>npm</t>
        </is>
      </c>
      <c r="C236" t="inlineStr">
        <is>
          <t>use-sidecar</t>
        </is>
      </c>
      <c r="D236" t="inlineStr">
        <is>
          <t>1.1.3</t>
        </is>
      </c>
      <c r="E236" t="inlineStr">
        <is>
          <t>MIT</t>
        </is>
      </c>
      <c r="F236" t="inlineStr">
        <is>
          <t>Syft scan (2026-07-02T06:42:43Z)</t>
        </is>
      </c>
    </row>
    <row r="237">
      <c r="A237" t="n">
        <v>236</v>
      </c>
      <c r="B237" t="inlineStr">
        <is>
          <t>npm</t>
        </is>
      </c>
      <c r="C237" t="inlineStr">
        <is>
          <t>use-sync-external-store</t>
        </is>
      </c>
      <c r="D237" t="inlineStr">
        <is>
          <t>1.6.0</t>
        </is>
      </c>
      <c r="E237" t="inlineStr">
        <is>
          <t>MIT</t>
        </is>
      </c>
      <c r="F237" t="inlineStr">
        <is>
          <t>Syft scan (2026-07-02T06:42:43Z)</t>
        </is>
      </c>
    </row>
    <row r="238">
      <c r="A238" t="n">
        <v>237</v>
      </c>
      <c r="B238" t="inlineStr">
        <is>
          <t>npm</t>
        </is>
      </c>
      <c r="C238" t="inlineStr">
        <is>
          <t>usehooks-ts</t>
        </is>
      </c>
      <c r="D238" t="inlineStr">
        <is>
          <t>3.1.1</t>
        </is>
      </c>
      <c r="E238" t="inlineStr">
        <is>
          <t>MIT</t>
        </is>
      </c>
      <c r="F238" t="inlineStr">
        <is>
          <t>Syft scan (2026-07-02T06:42:43Z)</t>
        </is>
      </c>
    </row>
    <row r="239">
      <c r="A239" t="n">
        <v>238</v>
      </c>
      <c r="B239" t="inlineStr">
        <is>
          <t>python</t>
        </is>
      </c>
      <c r="C239" t="inlineStr">
        <is>
          <t>uvicorn</t>
        </is>
      </c>
      <c r="D239" t="inlineStr">
        <is>
          <t>0.32.1</t>
        </is>
      </c>
      <c r="E239" t="inlineStr">
        <is>
          <t>UNKNOWN</t>
        </is>
      </c>
      <c r="F239" t="inlineStr">
        <is>
          <t>Syft scan (2026-07-02T06:42:43Z)</t>
        </is>
      </c>
    </row>
    <row r="240">
      <c r="A240" t="n">
        <v>239</v>
      </c>
      <c r="B240" t="inlineStr">
        <is>
          <t>python</t>
        </is>
      </c>
      <c r="C240" t="inlineStr">
        <is>
          <t>uvloop</t>
        </is>
      </c>
      <c r="D240" t="inlineStr">
        <is>
          <t>0.22.1</t>
        </is>
      </c>
      <c r="E240" t="inlineStr">
        <is>
          <t>UNKNOWN</t>
        </is>
      </c>
      <c r="F240" t="inlineStr">
        <is>
          <t>Syft scan (2026-07-02T06:42:43Z)</t>
        </is>
      </c>
    </row>
    <row r="241">
      <c r="A241" t="n">
        <v>240</v>
      </c>
      <c r="B241" t="inlineStr">
        <is>
          <t>python</t>
        </is>
      </c>
      <c r="C241" t="inlineStr">
        <is>
          <t>virtualenv</t>
        </is>
      </c>
      <c r="D241" t="inlineStr">
        <is>
          <t>21.2.4</t>
        </is>
      </c>
      <c r="E241" t="inlineStr">
        <is>
          <t>UNKNOWN</t>
        </is>
      </c>
      <c r="F241" t="inlineStr">
        <is>
          <t>Syft scan (2026-07-02T06:42:43Z)</t>
        </is>
      </c>
    </row>
    <row r="242">
      <c r="A242" t="n">
        <v>241</v>
      </c>
      <c r="B242" t="inlineStr">
        <is>
          <t>python</t>
        </is>
      </c>
      <c r="C242" t="inlineStr">
        <is>
          <t>watchfiles</t>
        </is>
      </c>
      <c r="D242" t="inlineStr">
        <is>
          <t>1.1.1</t>
        </is>
      </c>
      <c r="E242" t="inlineStr">
        <is>
          <t>UNKNOWN</t>
        </is>
      </c>
      <c r="F242" t="inlineStr">
        <is>
          <t>Syft scan (2026-07-02T06:42:43Z)</t>
        </is>
      </c>
    </row>
    <row r="243">
      <c r="A243" t="n">
        <v>242</v>
      </c>
      <c r="B243" t="inlineStr">
        <is>
          <t>npm</t>
        </is>
      </c>
      <c r="C243" t="inlineStr">
        <is>
          <t>webrtc-adapter</t>
        </is>
      </c>
      <c r="D243" t="inlineStr">
        <is>
          <t>9.0.5</t>
        </is>
      </c>
      <c r="E243" t="inlineStr">
        <is>
          <t>BSD-3-Clause</t>
        </is>
      </c>
      <c r="F243" t="inlineStr">
        <is>
          <t>Syft scan (2026-07-02T06:42:43Z)</t>
        </is>
      </c>
    </row>
    <row r="244">
      <c r="A244" t="n">
        <v>243</v>
      </c>
      <c r="B244" t="inlineStr">
        <is>
          <t>python</t>
        </is>
      </c>
      <c r="C244" t="inlineStr">
        <is>
          <t>websockets</t>
        </is>
      </c>
      <c r="D244" t="inlineStr">
        <is>
          <t>15.0.1</t>
        </is>
      </c>
      <c r="E244" t="inlineStr">
        <is>
          <t>UNKNOWN</t>
        </is>
      </c>
      <c r="F244" t="inlineStr">
        <is>
          <t>Syft scan (2026-07-02T06:42:43Z)</t>
        </is>
      </c>
    </row>
    <row r="245">
      <c r="A245" t="n">
        <v>244</v>
      </c>
      <c r="B245" t="inlineStr">
        <is>
          <t>python</t>
        </is>
      </c>
      <c r="C245" t="inlineStr">
        <is>
          <t>yarl</t>
        </is>
      </c>
      <c r="D245" t="inlineStr">
        <is>
          <t>1.23.0</t>
        </is>
      </c>
      <c r="E245" t="inlineStr">
        <is>
          <t>UNKNOWN</t>
        </is>
      </c>
      <c r="F245" t="inlineStr">
        <is>
          <t>Syft scan (2026-07-02T06:42:43Z)</t>
        </is>
      </c>
    </row>
    <row r="246">
      <c r="A246" t="n">
        <v>245</v>
      </c>
      <c r="B246" t="inlineStr">
        <is>
          <t>python</t>
        </is>
      </c>
      <c r="C246" t="inlineStr">
        <is>
          <t>zipp</t>
        </is>
      </c>
      <c r="D246" t="inlineStr">
        <is>
          <t>3.23.1</t>
        </is>
      </c>
      <c r="E246" t="inlineStr">
        <is>
          <t>UNKNOWN</t>
        </is>
      </c>
      <c r="F246" t="inlineStr">
        <is>
          <t>Syft scan (2026-07-02T06:42:43Z)</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39" min="1" max="2"/>
    <col width="12.63" customWidth="1" style="139" min="3" max="5"/>
  </cols>
  <sheetData>
    <row r="1">
      <c r="A1" s="103">
        <f>'Project Team'!A1</f>
        <v/>
      </c>
      <c r="B1" s="103">
        <f>'Project Team'!B1</f>
        <v/>
      </c>
      <c r="C1" s="104" t="inlineStr">
        <is>
          <t>Value</t>
        </is>
      </c>
      <c r="D1" s="105" t="n"/>
      <c r="E1" s="106" t="n"/>
      <c r="F1" s="107" t="n"/>
      <c r="G1" s="108" t="n"/>
      <c r="H1" s="108" t="n"/>
    </row>
    <row r="2">
      <c r="A2" s="109">
        <f>'Project Team'!A2</f>
        <v/>
      </c>
      <c r="B2" s="109">
        <f>'Project Team'!B2</f>
        <v/>
      </c>
      <c r="C2" s="110" t="n"/>
      <c r="D2" s="111" t="n"/>
      <c r="E2" s="112">
        <f>average(C2:C10)</f>
        <v/>
      </c>
      <c r="F2" s="113">
        <f>if(stdev(C2:C7) &gt; 0,"NOK", "OK")</f>
        <v/>
      </c>
      <c r="G2" s="114" t="n"/>
      <c r="H2" s="114" t="n"/>
    </row>
    <row r="3">
      <c r="A3" s="123">
        <f>'Project Team'!A3</f>
        <v/>
      </c>
      <c r="B3" s="123">
        <f>'Project Team'!B3</f>
        <v/>
      </c>
      <c r="C3" s="116" t="n"/>
      <c r="D3" s="116" t="n"/>
      <c r="G3" s="117" t="n"/>
      <c r="H3" s="117" t="n"/>
    </row>
    <row r="4">
      <c r="A4" s="109">
        <f>'Project Team'!A4</f>
        <v/>
      </c>
      <c r="B4" s="109">
        <f>'Project Team'!B4</f>
        <v/>
      </c>
      <c r="C4" s="110" t="n"/>
      <c r="D4" s="111" t="n"/>
      <c r="G4" s="114" t="n"/>
      <c r="H4" s="114" t="n"/>
    </row>
    <row r="5">
      <c r="A5" s="123">
        <f>'Project Team'!A5</f>
        <v/>
      </c>
      <c r="B5" s="123">
        <f>'Project Team'!B5</f>
        <v/>
      </c>
      <c r="C5" s="118" t="n"/>
      <c r="D5" s="118" t="n"/>
      <c r="E5" s="118" t="n"/>
      <c r="F5" s="118" t="n"/>
      <c r="G5" s="117" t="n"/>
      <c r="H5" s="117" t="n"/>
    </row>
    <row r="6">
      <c r="A6" s="109">
        <f>'Project Team'!A6</f>
        <v/>
      </c>
      <c r="B6" s="109">
        <f>'Project Team'!B6</f>
        <v/>
      </c>
      <c r="C6" s="119" t="n"/>
      <c r="D6" s="120" t="n"/>
      <c r="E6" s="121" t="n">
        <v>0</v>
      </c>
      <c r="F6" s="122" t="inlineStr">
        <is>
          <t>No size</t>
        </is>
      </c>
      <c r="G6" s="114" t="n"/>
      <c r="H6" s="114" t="n"/>
    </row>
    <row r="7">
      <c r="A7" s="123">
        <f>'Project Team'!A7</f>
        <v/>
      </c>
      <c r="B7" s="123">
        <f>'Project Team'!B7</f>
        <v/>
      </c>
      <c r="C7" s="110" t="n"/>
      <c r="D7" s="118" t="n"/>
      <c r="E7" s="121" t="n">
        <v>1</v>
      </c>
      <c r="F7" s="122" t="inlineStr">
        <is>
          <t>Trivial size</t>
        </is>
      </c>
      <c r="G7" s="117" t="n"/>
      <c r="H7" s="117" t="n"/>
    </row>
    <row r="8">
      <c r="A8" s="109">
        <f>'Project Team'!A8</f>
        <v/>
      </c>
      <c r="B8" s="109">
        <f>'Project Team'!B8</f>
        <v/>
      </c>
      <c r="C8" s="110" t="n"/>
      <c r="D8" s="120" t="n"/>
      <c r="E8" s="121" t="n">
        <v>2</v>
      </c>
      <c r="F8" s="122" t="inlineStr">
        <is>
          <t>Small size</t>
        </is>
      </c>
      <c r="G8" s="114" t="n"/>
      <c r="H8" s="114" t="n"/>
    </row>
    <row r="9">
      <c r="A9" s="123">
        <f>'Project Team'!A9</f>
        <v/>
      </c>
      <c r="B9" s="123">
        <f>'Project Team'!B9</f>
        <v/>
      </c>
      <c r="C9" s="110" t="n"/>
      <c r="D9" s="118" t="n"/>
      <c r="E9" s="121" t="n">
        <v>3</v>
      </c>
      <c r="F9" s="122" t="inlineStr">
        <is>
          <t>Medium size</t>
        </is>
      </c>
      <c r="G9" s="117" t="n"/>
      <c r="H9" s="117" t="n"/>
    </row>
    <row r="10">
      <c r="A10" s="109">
        <f>'Project Team'!A10</f>
        <v/>
      </c>
      <c r="B10" s="109">
        <f>'Project Team'!B10</f>
        <v/>
      </c>
      <c r="C10" s="110" t="n"/>
      <c r="D10" s="120" t="n"/>
      <c r="E10" s="121" t="n">
        <v>5</v>
      </c>
      <c r="F10" s="122" t="inlineStr">
        <is>
          <t>Large size</t>
        </is>
      </c>
      <c r="G10" s="114" t="n"/>
      <c r="H10" s="114" t="n"/>
    </row>
    <row r="11">
      <c r="A11" s="123" t="inlineStr">
        <is>
          <t>Shameti</t>
        </is>
      </c>
      <c r="B11" s="123" t="inlineStr">
        <is>
          <t>Endri</t>
        </is>
      </c>
      <c r="C11" s="110" t="n"/>
      <c r="D11" s="118" t="n"/>
      <c r="E11" s="121" t="n">
        <v>8</v>
      </c>
      <c r="F11" s="122" t="inlineStr">
        <is>
          <t>Very large size</t>
        </is>
      </c>
      <c r="G11" s="117" t="n"/>
      <c r="H11" s="117" t="n"/>
    </row>
    <row r="12">
      <c r="A12" s="109" t="n"/>
      <c r="B12" s="109" t="n"/>
      <c r="C12" s="110" t="n"/>
      <c r="D12" s="120" t="n"/>
      <c r="E12" s="121" t="n">
        <v>13</v>
      </c>
      <c r="F12" s="122" t="inlineStr">
        <is>
          <t>Too large (size)</t>
        </is>
      </c>
      <c r="G12" s="114" t="n"/>
      <c r="H12" s="114" t="n"/>
    </row>
    <row r="13">
      <c r="A13" s="123" t="n"/>
      <c r="B13" s="123" t="n"/>
      <c r="C13" s="118" t="n"/>
      <c r="D13" s="118" t="n"/>
      <c r="E13" s="118" t="n"/>
      <c r="F13" s="118" t="n"/>
      <c r="G13" s="117" t="n"/>
      <c r="H13" s="117" t="n"/>
    </row>
    <row r="14">
      <c r="A14" s="125" t="inlineStr">
        <is>
          <t>How to play planning poker</t>
        </is>
      </c>
      <c r="B14" s="125" t="n"/>
      <c r="C14" s="125" t="n"/>
      <c r="D14" s="125" t="n"/>
      <c r="E14" s="125" t="n"/>
      <c r="F14" s="125" t="n"/>
      <c r="G14" s="125" t="n"/>
      <c r="H14" s="125" t="n"/>
    </row>
    <row r="15">
      <c r="A15" s="129" t="n"/>
      <c r="B15" s="129" t="n"/>
      <c r="C15" s="129" t="n"/>
      <c r="D15" s="129" t="n"/>
      <c r="E15" s="129" t="n"/>
      <c r="F15" s="129" t="n"/>
      <c r="G15" s="129" t="n"/>
      <c r="H15" s="129" t="n"/>
    </row>
    <row r="16">
      <c r="A16" s="128" t="inlineStr">
        <is>
          <t>1. Everyone type their number into their value field, don't hit return yet</t>
        </is>
      </c>
      <c r="B16" s="128" t="n"/>
      <c r="C16" s="128" t="n"/>
      <c r="D16" s="128" t="n"/>
      <c r="E16" s="128" t="n"/>
      <c r="F16" s="128" t="n"/>
      <c r="G16" s="128" t="n"/>
      <c r="H16" s="128" t="n"/>
    </row>
    <row r="17">
      <c r="A17" s="129" t="inlineStr">
        <is>
          <t>2. Someone, perhaps a product owner, count down 3.. 2.. 1..</t>
        </is>
      </c>
      <c r="B17" s="129" t="n"/>
      <c r="C17" s="129" t="n"/>
      <c r="D17" s="129" t="n"/>
      <c r="E17" s="129" t="n"/>
      <c r="F17" s="129" t="n"/>
      <c r="G17" s="129" t="n"/>
      <c r="H17" s="129" t="n"/>
    </row>
    <row r="18">
      <c r="A18" s="128" t="inlineStr">
        <is>
          <t>3. Then, everyone hit return to submit their value</t>
        </is>
      </c>
      <c r="B18" s="128" t="n"/>
      <c r="C18" s="128" t="n"/>
      <c r="D18" s="128" t="n"/>
      <c r="E18" s="128" t="n"/>
      <c r="F18" s="128" t="n"/>
      <c r="G18" s="128" t="n"/>
      <c r="H18" s="128" t="n"/>
    </row>
    <row r="19">
      <c r="A19" s="129" t="n"/>
      <c r="B19" s="129" t="n"/>
      <c r="C19" s="129" t="n"/>
      <c r="D19" s="129" t="n"/>
      <c r="E19" s="129" t="n"/>
      <c r="F19" s="129" t="n"/>
      <c r="G19" s="129" t="n"/>
      <c r="H19" s="129" t="n"/>
    </row>
    <row r="20">
      <c r="A20" s="128" t="n"/>
      <c r="B20" s="128" t="n"/>
      <c r="C20" s="128" t="n"/>
      <c r="D20" s="128" t="n"/>
      <c r="E20" s="128" t="n"/>
      <c r="F20" s="128" t="n"/>
      <c r="G20" s="128" t="n"/>
      <c r="H20" s="128"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6.xml><?xml version="1.0" encoding="utf-8"?>
<worksheet xmlns="http://schemas.openxmlformats.org/spreadsheetml/2006/main">
  <sheetPr>
    <outlinePr summaryBelow="0" summaryRight="0"/>
    <pageSetUpPr/>
  </sheetPr>
  <dimension ref="A1:M33"/>
  <sheetViews>
    <sheetView workbookViewId="0">
      <selection activeCell="A1" sqref="A1"/>
    </sheetView>
  </sheetViews>
  <sheetFormatPr baseColWidth="8" defaultColWidth="12.63" defaultRowHeight="12.75" customHeight="1"/>
  <cols>
    <col width="24.75" customWidth="1" style="139" min="13" max="13"/>
  </cols>
  <sheetData>
    <row r="1">
      <c r="A1" s="42" t="inlineStr">
        <is>
          <t>Sprint #</t>
        </is>
      </c>
      <c r="B1" s="40" t="inlineStr">
        <is>
          <t>Story Points Realized</t>
        </is>
      </c>
      <c r="C1" s="40">
        <f>"Average Realized (" &amp; ROUND(AVERAGE(B2:B16), 0) &amp; " SP/s)"</f>
        <v/>
      </c>
      <c r="E1" s="35" t="inlineStr">
        <is>
          <t>Mid Project Release</t>
        </is>
      </c>
      <c r="F1" s="48" t="inlineStr">
        <is>
          <t>Sprint</t>
        </is>
      </c>
      <c r="G1" s="101" t="inlineStr">
        <is>
          <t>Goal</t>
        </is>
      </c>
      <c r="H1" s="101" t="inlineStr">
        <is>
          <t>Feature Name</t>
        </is>
      </c>
      <c r="I1" s="130" t="inlineStr">
        <is>
          <t>Est. size</t>
        </is>
      </c>
      <c r="J1" s="130" t="inlineStr">
        <is>
          <t>Est. remaining</t>
        </is>
      </c>
      <c r="K1" s="130" t="inlineStr">
        <is>
          <t>Real size</t>
        </is>
      </c>
      <c r="L1" s="130" t="inlineStr">
        <is>
          <t>Real remaining</t>
        </is>
      </c>
      <c r="M1" s="130" t="inlineStr">
        <is>
          <t>Development Speed</t>
        </is>
      </c>
    </row>
    <row r="2">
      <c r="A2" s="131" t="n">
        <v>1</v>
      </c>
      <c r="B2" s="131">
        <f>'Velocity Tracking'!B2</f>
        <v/>
      </c>
      <c r="C2" s="131">
        <f>AVERAGE($B$2:$B$16)</f>
        <v/>
      </c>
      <c r="F2" s="80" t="n"/>
      <c r="G2" s="81" t="n"/>
      <c r="H2" s="132" t="n"/>
      <c r="I2" s="132" t="n"/>
      <c r="J2" s="132" t="n"/>
      <c r="K2" s="132" t="n"/>
      <c r="L2" s="132" t="n"/>
      <c r="M2" s="132" t="n"/>
    </row>
    <row r="3">
      <c r="A3" s="131">
        <f>A2+1</f>
        <v/>
      </c>
      <c r="B3" s="131">
        <f>'Velocity Tracking'!B3</f>
        <v/>
      </c>
      <c r="C3" s="131">
        <f>AVERAGE($B$2:$B$16)</f>
        <v/>
      </c>
      <c r="F3" s="55" t="inlineStr">
        <is>
          <t>Release</t>
        </is>
      </c>
      <c r="G3" s="56" t="n"/>
      <c r="H3" s="133" t="n"/>
      <c r="I3" s="133" t="n"/>
      <c r="J3" s="133" t="n"/>
      <c r="K3" s="133" t="n"/>
      <c r="L3" s="133" t="n"/>
      <c r="M3" s="133" t="n"/>
    </row>
    <row r="4">
      <c r="A4" s="131">
        <f>A3+1</f>
        <v/>
      </c>
      <c r="B4" s="131">
        <f>'Velocity Tracking'!B4</f>
        <v/>
      </c>
      <c r="C4" s="131">
        <f>AVERAGE($B$2:$B$16)</f>
        <v/>
      </c>
      <c r="F4" s="80" t="n"/>
      <c r="G4" s="81" t="n"/>
      <c r="H4" s="132" t="n"/>
      <c r="I4" s="132" t="n"/>
      <c r="J4" s="132" t="n"/>
      <c r="K4" s="132" t="n"/>
      <c r="L4" s="132" t="n"/>
      <c r="M4" s="132" t="n"/>
    </row>
    <row r="5">
      <c r="A5" s="131">
        <f>A4+1</f>
        <v/>
      </c>
      <c r="B5" s="131">
        <f>'Velocity Tracking'!B5</f>
        <v/>
      </c>
      <c r="C5" s="131">
        <f>AVERAGE($B$2:$B$16)</f>
        <v/>
      </c>
      <c r="F5" s="83" t="inlineStr">
        <is>
          <t>Total</t>
        </is>
      </c>
      <c r="G5" s="59" t="n"/>
      <c r="H5" s="134" t="n"/>
      <c r="I5" s="137">
        <f>SUM(I8:I15)</f>
        <v/>
      </c>
      <c r="J5" s="137">
        <f>I5</f>
        <v/>
      </c>
      <c r="K5" s="134" t="n"/>
      <c r="L5" s="134" t="n"/>
      <c r="M5" s="134">
        <f>I5/6</f>
        <v/>
      </c>
    </row>
    <row r="6">
      <c r="A6" s="131">
        <f>A5+1</f>
        <v/>
      </c>
      <c r="B6" s="131">
        <f>'Velocity Tracking'!B6</f>
        <v/>
      </c>
      <c r="C6" s="131">
        <f>AVERAGE($B$2:$B$16)</f>
        <v/>
      </c>
      <c r="F6" s="80" t="n"/>
      <c r="G6" s="81" t="n"/>
      <c r="H6" s="132" t="n"/>
      <c r="I6" s="132" t="n"/>
      <c r="J6" s="132" t="n"/>
      <c r="K6" s="132" t="n"/>
      <c r="L6" s="132" t="n"/>
      <c r="M6" s="132" t="n"/>
    </row>
    <row r="7">
      <c r="A7" s="131">
        <f>A6+1</f>
        <v/>
      </c>
      <c r="B7" s="131">
        <f>'Velocity Tracking'!B7</f>
        <v/>
      </c>
      <c r="C7" s="131">
        <f>AVERAGE($B$2:$B$16)</f>
        <v/>
      </c>
      <c r="F7" s="61" t="inlineStr">
        <is>
          <t>Sprints</t>
        </is>
      </c>
      <c r="G7" s="92" t="n"/>
      <c r="H7" s="135" t="n"/>
      <c r="I7" s="135" t="n"/>
      <c r="J7" s="135" t="n"/>
      <c r="K7" s="135" t="n"/>
      <c r="L7" s="135" t="n"/>
      <c r="M7" s="135" t="n"/>
    </row>
    <row r="8">
      <c r="A8" s="131">
        <f>A7+1</f>
        <v/>
      </c>
      <c r="B8" s="131">
        <f>'Velocity Tracking'!B8</f>
        <v/>
      </c>
      <c r="C8" s="131">
        <f>AVERAGE($B$2:$B$16)</f>
        <v/>
      </c>
      <c r="F8" s="64" t="inlineStr">
        <is>
          <t>Sprints</t>
        </is>
      </c>
      <c r="G8" s="81" t="n"/>
      <c r="H8" s="132" t="n"/>
      <c r="I8" s="132" t="n"/>
      <c r="J8" s="93" t="inlineStr">
        <is>
          <t>Est. remaining</t>
        </is>
      </c>
      <c r="K8" s="132" t="n"/>
      <c r="L8" s="93" t="inlineStr">
        <is>
          <t>Real remaining</t>
        </is>
      </c>
      <c r="M8" s="136">
        <f>"Development Speed (≈" &amp; ROUND(M5, 0) &amp; " SP/s)"</f>
        <v/>
      </c>
    </row>
    <row r="9">
      <c r="A9" s="131">
        <f>A8+1</f>
        <v/>
      </c>
      <c r="B9" s="131">
        <f>'Velocity Tracking'!B9</f>
        <v/>
      </c>
      <c r="C9" s="131">
        <f>AVERAGE($B$2:$B$16)</f>
        <v/>
      </c>
      <c r="F9" s="70" t="n">
        <v>1</v>
      </c>
      <c r="G9" s="83" t="n"/>
      <c r="H9" s="134" t="n"/>
      <c r="I9" s="137">
        <f>'Mid-Project Release plan'!D9</f>
        <v/>
      </c>
      <c r="J9" s="137">
        <f>'Mid-Project Release plan'!E9</f>
        <v/>
      </c>
      <c r="K9" s="137">
        <f>'Mid-Project Release plan'!F9</f>
        <v/>
      </c>
      <c r="L9" s="137">
        <f>'Mid-Project Release plan'!G9</f>
        <v/>
      </c>
      <c r="M9" s="137">
        <f>$I$5</f>
        <v/>
      </c>
    </row>
    <row r="10">
      <c r="A10" s="131">
        <f>A9+1</f>
        <v/>
      </c>
      <c r="B10" s="131">
        <f>'Velocity Tracking'!B10</f>
        <v/>
      </c>
      <c r="C10" s="131">
        <f>AVERAGE($B$2:$B$16)</f>
        <v/>
      </c>
      <c r="F10" s="80">
        <f>F9+1</f>
        <v/>
      </c>
      <c r="G10" s="81" t="n"/>
      <c r="H10" s="132" t="n"/>
      <c r="I10" s="137">
        <f>'Mid-Project Release plan'!D10</f>
        <v/>
      </c>
      <c r="J10" s="137">
        <f>'Mid-Project Release plan'!E10</f>
        <v/>
      </c>
      <c r="K10" s="137">
        <f>'Mid-Project Release plan'!F10</f>
        <v/>
      </c>
      <c r="L10" s="137">
        <f>'Mid-Project Release plan'!G10</f>
        <v/>
      </c>
      <c r="M10" s="137">
        <f>M9-$M$5</f>
        <v/>
      </c>
    </row>
    <row r="11">
      <c r="A11" s="131">
        <f>A10+1</f>
        <v/>
      </c>
      <c r="B11" s="131">
        <f>'Velocity Tracking'!B11</f>
        <v/>
      </c>
      <c r="C11" s="131">
        <f>AVERAGE($B$2:$B$16)</f>
        <v/>
      </c>
      <c r="F11" s="70">
        <f>F10+1</f>
        <v/>
      </c>
      <c r="G11" s="83" t="n"/>
      <c r="H11" s="134" t="n"/>
      <c r="I11" s="137">
        <f>'Mid-Project Release plan'!D11</f>
        <v/>
      </c>
      <c r="J11" s="137">
        <f>'Mid-Project Release plan'!E11</f>
        <v/>
      </c>
      <c r="K11" s="137">
        <f>'Mid-Project Release plan'!F11</f>
        <v/>
      </c>
      <c r="L11" s="137">
        <f>'Mid-Project Release plan'!G11</f>
        <v/>
      </c>
      <c r="M11" s="137">
        <f>M10-$M$5</f>
        <v/>
      </c>
    </row>
    <row r="12">
      <c r="A12" s="131">
        <f>A11+1</f>
        <v/>
      </c>
      <c r="B12" s="131">
        <f>'Velocity Tracking'!B12</f>
        <v/>
      </c>
      <c r="C12" s="131">
        <f>AVERAGE($B$2:$B$16)</f>
        <v/>
      </c>
      <c r="F12" s="80" t="n">
        <v>4</v>
      </c>
      <c r="G12" s="81" t="n"/>
      <c r="H12" s="132" t="n"/>
      <c r="I12" s="137">
        <f>'Mid-Project Release plan'!D12</f>
        <v/>
      </c>
      <c r="J12" s="137">
        <f>'Mid-Project Release plan'!E12</f>
        <v/>
      </c>
      <c r="K12" s="137">
        <f>'Mid-Project Release plan'!F12</f>
        <v/>
      </c>
      <c r="L12" s="137">
        <f>'Mid-Project Release plan'!G12</f>
        <v/>
      </c>
      <c r="M12" s="137">
        <f>M11-$M$5</f>
        <v/>
      </c>
    </row>
    <row r="13">
      <c r="A13" s="131">
        <f>A12+1</f>
        <v/>
      </c>
      <c r="B13" s="131">
        <f>'Velocity Tracking'!B13</f>
        <v/>
      </c>
      <c r="C13" s="131">
        <f>AVERAGE($B$2:$B$16)</f>
        <v/>
      </c>
      <c r="F13" s="70" t="n">
        <v>5</v>
      </c>
      <c r="G13" s="83" t="n"/>
      <c r="H13" s="134" t="n"/>
      <c r="I13" s="137">
        <f>'Mid-Project Release plan'!D13</f>
        <v/>
      </c>
      <c r="J13" s="137">
        <f>'Mid-Project Release plan'!E13</f>
        <v/>
      </c>
      <c r="K13" s="137">
        <f>'Mid-Project Release plan'!F13</f>
        <v/>
      </c>
      <c r="L13" s="137">
        <f>'Mid-Project Release plan'!G13</f>
        <v/>
      </c>
      <c r="M13" s="137">
        <f>M12-$M$5</f>
        <v/>
      </c>
    </row>
    <row r="14">
      <c r="A14" s="131">
        <f>A13+1</f>
        <v/>
      </c>
      <c r="B14" s="131">
        <f>'Velocity Tracking'!B14</f>
        <v/>
      </c>
      <c r="C14" s="131">
        <f>AVERAGE($B$2:$B$16)</f>
        <v/>
      </c>
      <c r="F14" s="131" t="n">
        <v>6</v>
      </c>
      <c r="I14" s="137">
        <f>'Mid-Project Release plan'!D14</f>
        <v/>
      </c>
      <c r="J14" s="137">
        <f>'Mid-Project Release plan'!E14</f>
        <v/>
      </c>
      <c r="K14" s="137">
        <f>'Mid-Project Release plan'!F14</f>
        <v/>
      </c>
      <c r="L14" s="137">
        <f>'Mid-Project Release plan'!G14</f>
        <v/>
      </c>
      <c r="M14" s="137">
        <f>M13-$M$5</f>
        <v/>
      </c>
    </row>
    <row r="15">
      <c r="A15" s="131" t="n"/>
      <c r="B15" s="131" t="n"/>
      <c r="C15" s="131" t="n"/>
      <c r="F15" s="131" t="n"/>
      <c r="G15" s="35" t="n"/>
      <c r="H15" s="35" t="n"/>
      <c r="I15" s="137">
        <f>'Mid-Project Release plan'!D15</f>
        <v/>
      </c>
      <c r="J15" s="137">
        <f>'Mid-Project Release plan'!E15</f>
        <v/>
      </c>
      <c r="K15" s="137">
        <f>'Mid-Project Release plan'!F15</f>
        <v/>
      </c>
      <c r="L15" s="137">
        <f>'Mid-Project Release plan'!G15</f>
        <v/>
      </c>
      <c r="M15" s="137">
        <f>M14-$M$5</f>
        <v/>
      </c>
    </row>
    <row r="16">
      <c r="A16" s="131" t="n"/>
      <c r="B16" s="131" t="n"/>
      <c r="C16" s="131" t="n"/>
    </row>
    <row r="18">
      <c r="E18" s="35" t="inlineStr">
        <is>
          <t>Final Release</t>
        </is>
      </c>
      <c r="F18" s="48" t="inlineStr">
        <is>
          <t>Sprint</t>
        </is>
      </c>
      <c r="G18" s="100" t="inlineStr">
        <is>
          <t>Goal</t>
        </is>
      </c>
      <c r="H18" s="101" t="inlineStr">
        <is>
          <t>Feature Name</t>
        </is>
      </c>
      <c r="I18" s="130" t="inlineStr">
        <is>
          <t>Est. size</t>
        </is>
      </c>
      <c r="J18" s="130" t="inlineStr">
        <is>
          <t>Est. remaining</t>
        </is>
      </c>
      <c r="K18" s="130" t="inlineStr">
        <is>
          <t>Real size</t>
        </is>
      </c>
      <c r="L18" s="130" t="inlineStr">
        <is>
          <t>Real remaining</t>
        </is>
      </c>
      <c r="M18" s="130" t="inlineStr">
        <is>
          <t>Development Speed</t>
        </is>
      </c>
    </row>
    <row r="19">
      <c r="F19" s="80" t="n"/>
      <c r="G19" s="132" t="n"/>
      <c r="H19" s="132" t="n"/>
      <c r="I19" s="132" t="n"/>
      <c r="J19" s="132" t="n"/>
      <c r="K19" s="132" t="n"/>
      <c r="L19" s="132" t="n"/>
      <c r="M19" s="132" t="n"/>
    </row>
    <row r="20">
      <c r="F20" s="55" t="inlineStr">
        <is>
          <t>Release</t>
        </is>
      </c>
      <c r="G20" s="133" t="n"/>
      <c r="H20" s="133" t="n"/>
      <c r="I20" s="133" t="n"/>
      <c r="J20" s="133" t="n"/>
      <c r="K20" s="133" t="n"/>
      <c r="L20" s="133" t="n"/>
      <c r="M20" s="133" t="n"/>
    </row>
    <row r="21">
      <c r="F21" s="80" t="n"/>
      <c r="G21" s="132" t="n"/>
      <c r="H21" s="132" t="n"/>
      <c r="I21" s="132" t="n"/>
      <c r="J21" s="132" t="n"/>
      <c r="K21" s="132" t="n"/>
      <c r="L21" s="132" t="n"/>
      <c r="M21" s="132" t="n"/>
    </row>
    <row r="22">
      <c r="F22" s="83" t="inlineStr">
        <is>
          <t>Total</t>
        </is>
      </c>
      <c r="G22" s="134" t="n"/>
      <c r="H22" s="134" t="n"/>
      <c r="I22" s="137">
        <f>sum(I25:I32)</f>
        <v/>
      </c>
      <c r="J22" s="137">
        <f>I22</f>
        <v/>
      </c>
      <c r="K22" s="134" t="n"/>
      <c r="L22" s="134" t="n"/>
      <c r="M22" s="134">
        <f>I22/7</f>
        <v/>
      </c>
    </row>
    <row r="23">
      <c r="F23" s="80" t="n"/>
      <c r="G23" s="132" t="n"/>
      <c r="H23" s="132" t="n"/>
      <c r="I23" s="132" t="n"/>
      <c r="J23" s="132" t="n"/>
      <c r="K23" s="132" t="n"/>
      <c r="L23" s="132" t="n"/>
      <c r="M23" s="132" t="n"/>
    </row>
    <row r="24">
      <c r="F24" s="61" t="inlineStr">
        <is>
          <t>Sprints</t>
        </is>
      </c>
      <c r="G24" s="92" t="n"/>
      <c r="H24" s="135" t="n"/>
      <c r="I24" s="135" t="n"/>
      <c r="J24" s="135" t="n"/>
      <c r="K24" s="135" t="n"/>
      <c r="L24" s="135" t="n"/>
      <c r="M24" s="135" t="n"/>
    </row>
    <row r="25">
      <c r="F25" s="80" t="n"/>
      <c r="G25" s="132" t="n"/>
      <c r="H25" s="132" t="n"/>
      <c r="I25" s="132" t="n"/>
      <c r="J25" s="93" t="inlineStr">
        <is>
          <t>Est. remaining</t>
        </is>
      </c>
      <c r="L25" s="93" t="inlineStr">
        <is>
          <t>Real remaining</t>
        </is>
      </c>
      <c r="M25" s="136">
        <f>"Development Speed (≈" &amp; ROUND(M22, 0) &amp; " SP/s)"</f>
        <v/>
      </c>
    </row>
    <row r="26">
      <c r="F26" s="70" t="n">
        <v>7</v>
      </c>
      <c r="G26" s="134" t="n"/>
      <c r="H26" s="134" t="n"/>
      <c r="I26" s="137">
        <f>'Final Project Release plan'!D9</f>
        <v/>
      </c>
      <c r="J26" s="137">
        <f>'Final Project Release plan'!E9</f>
        <v/>
      </c>
      <c r="K26" s="137">
        <f>'Final Project Release plan'!F9</f>
        <v/>
      </c>
      <c r="L26" s="137">
        <f>'Final Project Release plan'!G9</f>
        <v/>
      </c>
      <c r="M26" s="137">
        <f>$I$22</f>
        <v/>
      </c>
    </row>
    <row r="27">
      <c r="F27" s="80">
        <f>F26+1</f>
        <v/>
      </c>
      <c r="G27" s="132" t="n"/>
      <c r="H27" s="132" t="n"/>
      <c r="I27" s="137">
        <f>'Final Project Release plan'!D10</f>
        <v/>
      </c>
      <c r="J27" s="137">
        <f>'Final Project Release plan'!E10</f>
        <v/>
      </c>
      <c r="K27" s="137">
        <f>'Final Project Release plan'!F10</f>
        <v/>
      </c>
      <c r="L27" s="137">
        <f>'Final Project Release plan'!G10</f>
        <v/>
      </c>
      <c r="M27" s="138">
        <f>M26-$M$22</f>
        <v/>
      </c>
    </row>
    <row r="28">
      <c r="F28" s="70">
        <f>F27+1</f>
        <v/>
      </c>
      <c r="G28" s="134" t="n"/>
      <c r="H28" s="134" t="n"/>
      <c r="I28" s="137">
        <f>'Final Project Release plan'!D11</f>
        <v/>
      </c>
      <c r="J28" s="137">
        <f>'Final Project Release plan'!E11</f>
        <v/>
      </c>
      <c r="K28" s="137">
        <f>'Final Project Release plan'!F11</f>
        <v/>
      </c>
      <c r="L28" s="137">
        <f>'Final Project Release plan'!G11</f>
        <v/>
      </c>
      <c r="M28" s="138">
        <f>M27-$M$22</f>
        <v/>
      </c>
    </row>
    <row r="29">
      <c r="F29" s="80" t="n">
        <v>10</v>
      </c>
      <c r="G29" s="132" t="n"/>
      <c r="H29" s="132" t="n"/>
      <c r="I29" s="137">
        <f>'Final Project Release plan'!D12</f>
        <v/>
      </c>
      <c r="J29" s="137">
        <f>'Final Project Release plan'!E12</f>
        <v/>
      </c>
      <c r="K29" s="137">
        <f>'Final Project Release plan'!F12</f>
        <v/>
      </c>
      <c r="L29" s="137">
        <f>'Final Project Release plan'!G12</f>
        <v/>
      </c>
      <c r="M29" s="138">
        <f>M28-$M$22</f>
        <v/>
      </c>
    </row>
    <row r="30">
      <c r="F30" s="70" t="n">
        <v>11</v>
      </c>
      <c r="G30" s="134" t="n"/>
      <c r="H30" s="134" t="n"/>
      <c r="I30" s="137">
        <f>'Final Project Release plan'!D13</f>
        <v/>
      </c>
      <c r="J30" s="137">
        <f>'Final Project Release plan'!E13</f>
        <v/>
      </c>
      <c r="K30" s="137">
        <f>'Final Project Release plan'!F13</f>
        <v/>
      </c>
      <c r="L30" s="137">
        <f>'Final Project Release plan'!G13</f>
        <v/>
      </c>
      <c r="M30" s="138">
        <f>M29-$M$22</f>
        <v/>
      </c>
    </row>
    <row r="31">
      <c r="F31" s="80" t="n">
        <v>12</v>
      </c>
      <c r="G31" s="132" t="n"/>
      <c r="H31" s="132" t="n"/>
      <c r="I31" s="137">
        <f>'Final Project Release plan'!D14</f>
        <v/>
      </c>
      <c r="J31" s="137">
        <f>'Final Project Release plan'!E14</f>
        <v/>
      </c>
      <c r="K31" s="137">
        <f>'Final Project Release plan'!F14</f>
        <v/>
      </c>
      <c r="L31" s="137">
        <f>'Final Project Release plan'!G14</f>
        <v/>
      </c>
      <c r="M31" s="138">
        <f>M30-$M$22</f>
        <v/>
      </c>
    </row>
    <row r="32">
      <c r="F32" s="70" t="n">
        <v>13</v>
      </c>
      <c r="G32" s="134" t="n"/>
      <c r="H32" s="134" t="n"/>
      <c r="I32" s="137">
        <f>'Final Project Release plan'!D15</f>
        <v/>
      </c>
      <c r="J32" s="137">
        <f>'Final Project Release plan'!E15</f>
        <v/>
      </c>
      <c r="K32" s="137">
        <f>'Final Project Release plan'!F15</f>
        <v/>
      </c>
      <c r="L32" s="137">
        <f>'Final Project Release plan'!G15</f>
        <v/>
      </c>
      <c r="M32" s="138">
        <f>M31-$M$22</f>
        <v/>
      </c>
    </row>
    <row r="33">
      <c r="F33" s="80" t="n"/>
      <c r="G33" s="132" t="n"/>
      <c r="H33" s="132" t="n"/>
      <c r="L33" s="138" t="n"/>
      <c r="M33" s="138" t="n"/>
    </row>
  </sheetData>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2026-07-02T07:02:32Z</dcterms:created>
  <dcterms:modified xsi:type="dcterms:W3CDTF">2026-07-02T07:02:33Z</dcterms:modified>
</cp:coreProperties>
</file>