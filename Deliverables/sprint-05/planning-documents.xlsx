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chartsheet+xml" PartName="/xl/chartsheets/sheet2.xml"/>
  <Override ContentType="application/vnd.openxmlformats-officedocument.spreadsheetml.chartsheet+xml" PartName="/xl/chartsheets/sheet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4"/>
    <sheet state="visible" name="Project Team" sheetId="2" r:id="rId5"/>
    <sheet state="visible" name="Role Assignments" sheetId="3" r:id="rId6"/>
    <sheet state="visible" name="Team Contract" sheetId="4" r:id="rId7"/>
    <sheet state="visible" name="Product Goal" sheetId="5" r:id="rId8"/>
    <sheet state="visible" name="Product Glossary" sheetId="6" r:id="rId9"/>
    <sheet state="visible" name="Sprint Goals" sheetId="7" r:id="rId10"/>
    <sheet state="visible" name="Mid-Project Release plan" sheetId="8" r:id="rId11"/>
    <sheet state="visible" name="Burndown Chart - MidRelease" sheetId="9" r:id="rId12"/>
    <sheet state="visible" name="Velocity Tracking" sheetId="10" r:id="rId13"/>
    <sheet state="visible" name="Velocity Chart" sheetId="11" r:id="rId14"/>
    <sheet state="visible" name="Final Project Release plan" sheetId="12" r:id="rId15"/>
    <sheet state="visible" name="Definition of Done" sheetId="13" r:id="rId16"/>
    <sheet state="visible" name="Documentation" sheetId="14" r:id="rId17"/>
    <sheet state="visible" name="Bill of Materials" sheetId="15" r:id="rId18"/>
    <sheet state="visible" name="Planning Poker" sheetId="16" r:id="rId19"/>
    <sheet state="visible" name="Calculations" sheetId="17" r:id="rId20"/>
  </sheets>
  <definedNames/>
  <calcPr/>
</workbook>
</file>

<file path=xl/sharedStrings.xml><?xml version="1.0" encoding="utf-8"?>
<sst xmlns="http://schemas.openxmlformats.org/spreadsheetml/2006/main" count="462" uniqueCount="305">
  <si>
    <t>Project Name</t>
  </si>
  <si>
    <t>TaskOrbit Conversational Agent</t>
  </si>
  <si>
    <t>Online team meeting</t>
  </si>
  <si>
    <t>https://fau.zoom-x.de/j/65288966243?pwd=DnF4jxSAfJugyMmynzjE1BaaFprRbi.1</t>
  </si>
  <si>
    <t>Production system (if any)</t>
  </si>
  <si>
    <t>GCP</t>
  </si>
  <si>
    <t>Test system (if any)</t>
  </si>
  <si>
    <t>TBD (Industry Partner Meeting on Monday)</t>
  </si>
  <si>
    <t>GitHub repository</t>
  </si>
  <si>
    <t>https://github.com/amosproj/amos2026ss04-taskorbit-conversational-agent</t>
  </si>
  <si>
    <t>GitHub feature board</t>
  </si>
  <si>
    <t>https://github.com/orgs/amosproj/projects/100/views/2</t>
  </si>
  <si>
    <t>GitHub imp-squared backlog</t>
  </si>
  <si>
    <t>https://github.com/orgs/amosproj/projects/104/views/1</t>
  </si>
  <si>
    <t>Position of T-shirt logo</t>
  </si>
  <si>
    <t>Upper Torso Center Large</t>
  </si>
  <si>
    <t>Link to logo for black T-shirt</t>
  </si>
  <si>
    <t>https://github.com/amosproj/amos2026ss04-taskorbit-conversational-agent/blob/feature/team-logo-design/Deliverables/sprint-01/team-logo.png</t>
  </si>
  <si>
    <t>Link to logo for white T-shirt</t>
  </si>
  <si>
    <t>Additional materials</t>
  </si>
  <si>
    <t>https://discord.gg/usXpc5ab</t>
  </si>
  <si>
    <t>Team maling list</t>
  </si>
  <si>
    <t>oss-amos-proj4@lists.fau.de</t>
  </si>
  <si>
    <t>Last Name</t>
  </si>
  <si>
    <t>First Name</t>
  </si>
  <si>
    <t>GitHub User Name</t>
  </si>
  <si>
    <t>Email Address</t>
  </si>
  <si>
    <t>Fatima</t>
  </si>
  <si>
    <t>Qiblatain</t>
  </si>
  <si>
    <t>qiblatainf</t>
  </si>
  <si>
    <t>qiblatain.fatima@fau.de</t>
  </si>
  <si>
    <t>Huy</t>
  </si>
  <si>
    <t>Christoph</t>
  </si>
  <si>
    <t>Perimora</t>
  </si>
  <si>
    <t>christoph.huy@campus.tu-berlin.de</t>
  </si>
  <si>
    <t>Raza</t>
  </si>
  <si>
    <t>Asad</t>
  </si>
  <si>
    <t>asadraza17</t>
  </si>
  <si>
    <t>asad.raza@fau.de</t>
  </si>
  <si>
    <t>Jokiel</t>
  </si>
  <si>
    <t>Rene</t>
  </si>
  <si>
    <t>BelmontR</t>
  </si>
  <si>
    <t>rene.jokiel@fau.de</t>
  </si>
  <si>
    <t>Mosler</t>
  </si>
  <si>
    <t>Carl</t>
  </si>
  <si>
    <t>Caerum5</t>
  </si>
  <si>
    <t>carl.mosler@tu-berlin.de</t>
  </si>
  <si>
    <t>Vineesh</t>
  </si>
  <si>
    <t>Koppay</t>
  </si>
  <si>
    <t>K-Vineesh</t>
  </si>
  <si>
    <t>vineesh.koppay@fau.de</t>
  </si>
  <si>
    <t>Moeez</t>
  </si>
  <si>
    <t>Abdul</t>
  </si>
  <si>
    <t>abdulmoeez1225</t>
  </si>
  <si>
    <t>abdul.moeez@fau.de</t>
  </si>
  <si>
    <t>Thakur</t>
  </si>
  <si>
    <t>Shikhar</t>
  </si>
  <si>
    <t>shikharthakur2404`</t>
  </si>
  <si>
    <t>shikhar.thakur@fau.de</t>
  </si>
  <si>
    <t>Dhruvin</t>
  </si>
  <si>
    <t>Vekariya</t>
  </si>
  <si>
    <t>djv03</t>
  </si>
  <si>
    <t>dhruvin.vekariya@fau.de</t>
  </si>
  <si>
    <t>Shameti</t>
  </si>
  <si>
    <t>Endri</t>
  </si>
  <si>
    <t>1Endri</t>
  </si>
  <si>
    <t>endri.shameti@fau.de</t>
  </si>
  <si>
    <t xml:space="preserve"> </t>
  </si>
  <si>
    <t>Product Owner</t>
  </si>
  <si>
    <t>#</t>
  </si>
  <si>
    <t>Meeting Day</t>
  </si>
  <si>
    <t>Review</t>
  </si>
  <si>
    <t>Planning</t>
  </si>
  <si>
    <t>Software Developer</t>
  </si>
  <si>
    <t>Release Manager</t>
  </si>
  <si>
    <t>Scrum Master</t>
  </si>
  <si>
    <t>Comment</t>
  </si>
  <si>
    <t>Everyone else</t>
  </si>
  <si>
    <t>N/A</t>
  </si>
  <si>
    <t>Endri Shameti</t>
  </si>
  <si>
    <t>Vineesh Koppay</t>
  </si>
  <si>
    <t>Asad Raza</t>
  </si>
  <si>
    <t>Abdul Moeez</t>
  </si>
  <si>
    <t>Mid-term due</t>
  </si>
  <si>
    <t>Demo day!</t>
  </si>
  <si>
    <t>Retrospective</t>
  </si>
  <si>
    <t>Product owners, software developers, and Scurm Master are set and ideally don't change over time; the critical part is the Release Manager role you need to define here</t>
  </si>
  <si>
    <t>Goals</t>
  </si>
  <si>
    <t xml:space="preserve"> Create a flawless and valuable project that the industry partner will be able to use. Create clean and reusable code and structures</t>
  </si>
  <si>
    <t>Meeting norms</t>
  </si>
  <si>
    <t>- be on time -cams on -reach out if you are not gonna make it</t>
  </si>
  <si>
    <t>- We'll respect each other's opinions and try to communicate as much as possible</t>
  </si>
  <si>
    <t>Working norms</t>
  </si>
  <si>
    <t>- Document and comment your code - We'll use branches in a sensefull way and not work directly on the main branch - Transparency - Clear commit messages - We test our code - We write clean code</t>
  </si>
  <si>
    <t>Coordination norms</t>
  </si>
  <si>
    <t>- We'll update the feature board in time - If there are multiple devs working on one item, they will communicate and coordinate and not work independently - We balance the workload among the team</t>
  </si>
  <si>
    <t>Communication norms</t>
  </si>
  <si>
    <t>- We talk about issues and problems when we face them - Transparent communication - Daily check the corresponding channels</t>
  </si>
  <si>
    <t>Consideration norms</t>
  </si>
  <si>
    <t>- We support each other when ever needed - We talk about issues openly - If we can't reach a consensus, we'll vote - We don't take critique personally</t>
  </si>
  <si>
    <t>Cont. improvement norms</t>
  </si>
  <si>
    <t>- We'll be open to learn and teach - We encourage critique and improvements efforts</t>
  </si>
  <si>
    <t>Rewards</t>
  </si>
  <si>
    <t>- We celebrate milestones with pizza - Very helpful team members get an extra slice of pizza</t>
  </si>
  <si>
    <t>Sanctions</t>
  </si>
  <si>
    <t>- Sit ups (at least 10, more if needed)</t>
  </si>
  <si>
    <t>Signatures</t>
  </si>
  <si>
    <t>Rene Jokiel</t>
  </si>
  <si>
    <t>Product owner</t>
  </si>
  <si>
    <t>Christoph Huy</t>
  </si>
  <si>
    <t>Carl Mosler</t>
  </si>
  <si>
    <t>Software developer</t>
  </si>
  <si>
    <t>Dhruvin Vekariya</t>
  </si>
  <si>
    <t>Qiblatain Fatima</t>
  </si>
  <si>
    <t>Shikhar Thakur</t>
  </si>
  <si>
    <t>Product Vision</t>
  </si>
  <si>
    <t>Project Mission</t>
  </si>
  <si>
    <t>Product Vision: TaskOrbit provides a domain-independent framework for building reliable conversational AI agents through declarative workflows and structured agent orchestration. The platform enables organizations to create configurable voice and chat agents that integrate STT, LLMs, TTS, and external APIs into unified conversational workflows.
By standardizing conversational automation across different business domains, TaskOrbit helps companies reduce manual effort, streamline internal and external processes, and deploy scalable AI-driven assistants without building custom infrastructure from scratch.</t>
  </si>
  <si>
    <t>The mission of this project is to create an MVP for a Voice AI Agent platform. Within the given project time-frame, the team is committed to delivering a fully functional conversational interface supporting configurable single-agent and multi-agent workflows. 
Core functionality will include the integration of STT for user input, a LLM backend for conversational processing and reasoning, agent orchestration capabilities, and TTS for audio output. The primary objective of this project is to provide a reliable and extensible end-to-end conversational system through the integration of these core components.</t>
  </si>
  <si>
    <t>Term</t>
  </si>
  <si>
    <t>Definition</t>
  </si>
  <si>
    <t xml:space="preserve">E2E </t>
  </si>
  <si>
    <t>End-to-End (Workflow): The complete processing pipeline of a system interaction, starting from user input through internal processing and concluding with the system’s resulting output.</t>
  </si>
  <si>
    <t>LLM (Large Language Model)</t>
  </si>
  <si>
    <t>The underlying AI backend used for conversational processing, reasoning, and generating text responses based on user prompts</t>
  </si>
  <si>
    <t>TTS (Text to Speech)</t>
  </si>
  <si>
    <t>The technology that converts text into a spoken audio output (e.g. the voice of the agent talking to the user)</t>
  </si>
  <si>
    <t>STT (Speech to Text)</t>
  </si>
  <si>
    <t>The technology that converts spoken audio input into a text (e.g., transcribing the spoken input from a user for a LLM)</t>
  </si>
  <si>
    <t>Latency</t>
  </si>
  <si>
    <t>The time delay between the end of a user's spoken input and the beginning of the agent's audio response (Roundtrip Time)</t>
  </si>
  <si>
    <t>Agent</t>
  </si>
  <si>
    <t>An autonomous entity within the platform configured with a specific persona, logic and context to interact with the user via voice (or text)</t>
  </si>
  <si>
    <t>Agent Orchestration</t>
  </si>
  <si>
    <t>The capability of the TaskOrbit framework to coordinate multiple specialized conversational agents within a single workflow to solve tasks</t>
  </si>
  <si>
    <t>Tool</t>
  </si>
  <si>
    <t>An external integration, API or function invoked by the agent to interact with outside services, databases or systems</t>
  </si>
  <si>
    <t>Skill</t>
  </si>
  <si>
    <t>An internal capability, native logic or workflow executed within the agent's system to process information or manage tasks</t>
  </si>
  <si>
    <t>Sprint #</t>
  </si>
  <si>
    <t>Sprint goal</t>
  </si>
  <si>
    <t>None</t>
  </si>
  <si>
    <t>Optional</t>
  </si>
  <si>
    <t>Persistent Single-Prompt Agent Prototype</t>
  </si>
  <si>
    <t xml:space="preserve">Cloud Deployment/Migration and System Robustness </t>
  </si>
  <si>
    <t>Sprint</t>
  </si>
  <si>
    <t>Goal</t>
  </si>
  <si>
    <t>Feature Name</t>
  </si>
  <si>
    <t>Est. size</t>
  </si>
  <si>
    <t>Est. remaining</t>
  </si>
  <si>
    <t>Real size</t>
  </si>
  <si>
    <t>Real remaining</t>
  </si>
  <si>
    <t>Release</t>
  </si>
  <si>
    <t>Total</t>
  </si>
  <si>
    <t>Sprints</t>
  </si>
  <si>
    <t>Features</t>
  </si>
  <si>
    <t>Design Team Logo #1</t>
  </si>
  <si>
    <t>Initialize Software Bill of Materials #13</t>
  </si>
  <si>
    <t>System Architecture #12</t>
  </si>
  <si>
    <t>First UI Design &amp; Implementation #5</t>
  </si>
  <si>
    <t>Setup Development Environment #17</t>
  </si>
  <si>
    <t>Not Accepted</t>
  </si>
  <si>
    <t>Setup LiveKit Infrastructure #26</t>
  </si>
  <si>
    <t>Schema Foundation #6</t>
  </si>
  <si>
    <t>Prepare Build Process Review #22</t>
  </si>
  <si>
    <t>Core Backend Foundation #7</t>
  </si>
  <si>
    <t>CI/CD Pipeline #10</t>
  </si>
  <si>
    <t>Basic Agent Runtime #33</t>
  </si>
  <si>
    <t>Basic LLM Integration #18</t>
  </si>
  <si>
    <t>DB Integration #32</t>
  </si>
  <si>
    <t>Audio Output via LiveKit (Text-to-Speech) # 15</t>
  </si>
  <si>
    <t>Audio Input via LiveKit (Speech-to-Text) #14</t>
  </si>
  <si>
    <t>Build Process Video #43</t>
  </si>
  <si>
    <t>User Conversation History #45</t>
  </si>
  <si>
    <t>Save Agent Configuration #47</t>
  </si>
  <si>
    <t>Load Agent Configuration #51</t>
  </si>
  <si>
    <t>Manage Agent Configuration #52</t>
  </si>
  <si>
    <t>Logging &amp; Monitoring Setup #11</t>
  </si>
  <si>
    <t>Voice Interruption for Audio Chat #55</t>
  </si>
  <si>
    <t>PLEASE CREATE THE BURNDOWN CHART ON A NEW TAB USING THE DATA FROM THIS TAB</t>
  </si>
  <si>
    <t>Story Points Realized</t>
  </si>
  <si>
    <t>PLEASE CREATE THE VELOCITY CHART ON A NEW TAB USING THE DATA FROM THIS TAB</t>
  </si>
  <si>
    <t>Estimated burn-down</t>
  </si>
  <si>
    <t>Real burn-down</t>
  </si>
  <si>
    <t>Feature Definition of Done</t>
  </si>
  <si>
    <t>Sprint Release Definition of Done</t>
  </si>
  <si>
    <t>Project Release Definition of Done</t>
  </si>
  <si>
    <t>General coding standards are met (eg. Formatting, Comments, Logging, no API-Keys in Repo)</t>
  </si>
  <si>
    <t>Every PR is peer-reviewed by at least one other developer</t>
  </si>
  <si>
    <t>Documentation is updated (eg. System Architecture, SBOM)</t>
  </si>
  <si>
    <t>Unit tests for new features have been written</t>
  </si>
  <si>
    <t>A release candidate representing a functional and verifiable increment over the previous sprint is tagged</t>
  </si>
  <si>
    <t>Existing features must remain operational and unaffected by the new changes</t>
  </si>
  <si>
    <t>Sprint release changelog have been written</t>
  </si>
  <si>
    <t>The system can be built and started from a clean repository checkout</t>
  </si>
  <si>
    <t>Core workflows are fully integrated and demonstrable end-to-end</t>
  </si>
  <si>
    <t>All major components are integrated and operational</t>
  </si>
  <si>
    <t>No critical or blocker defects remain open</t>
  </si>
  <si>
    <t>Architecture and technical documentation are finalized and updated</t>
  </si>
  <si>
    <t>SBOM and required project documentation are completed</t>
  </si>
  <si>
    <t>CI/CD pipeline passes successfully for the release version</t>
  </si>
  <si>
    <t>Release version is tagged and reproducible</t>
  </si>
  <si>
    <t>Build and deployment instructions are documented and verified</t>
  </si>
  <si>
    <t>Source code, documentation, and deliverables are submitted</t>
  </si>
  <si>
    <t>Type</t>
  </si>
  <si>
    <t>Link / reference</t>
  </si>
  <si>
    <t>Team Logo (SVG + PNG)</t>
  </si>
  <si>
    <t>Context</t>
  </si>
  <si>
    <t>Name</t>
  </si>
  <si>
    <t>Version</t>
  </si>
  <si>
    <t>License</t>
  </si>
  <si>
    <t>python</t>
  </si>
  <si>
    <t>fastapi</t>
  </si>
  <si>
    <t>^0.115.0</t>
  </si>
  <si>
    <t>MIT</t>
  </si>
  <si>
    <t>REST API framework</t>
  </si>
  <si>
    <t>uvicorn</t>
  </si>
  <si>
    <t>^0.32.0</t>
  </si>
  <si>
    <t>BSD</t>
  </si>
  <si>
    <t>ASGI server</t>
  </si>
  <si>
    <t>pydantic</t>
  </si>
  <si>
    <t>^2.9.0</t>
  </si>
  <si>
    <t>Data validation</t>
  </si>
  <si>
    <t>pydantic-settings</t>
  </si>
  <si>
    <t>^2.6.0</t>
  </si>
  <si>
    <t>Settings management</t>
  </si>
  <si>
    <t>python-dotenv</t>
  </si>
  <si>
    <t>^1.0.1</t>
  </si>
  <si>
    <t>Environment config</t>
  </si>
  <si>
    <t>livekit-agents</t>
  </si>
  <si>
    <t>^1.5.0</t>
  </si>
  <si>
    <t>Apache-2.0</t>
  </si>
  <si>
    <t>Voice agent framework</t>
  </si>
  <si>
    <t>sqlalchemy</t>
  </si>
  <si>
    <t>^2.0.36</t>
  </si>
  <si>
    <t>Database ORM</t>
  </si>
  <si>
    <t>alembic</t>
  </si>
  <si>
    <t>^1.14.0</t>
  </si>
  <si>
    <t>Database migrations</t>
  </si>
  <si>
    <t>psycopg</t>
  </si>
  <si>
    <t>^3.2.0</t>
  </si>
  <si>
    <t>LGPL</t>
  </si>
  <si>
    <t>PostgreSQL driver</t>
  </si>
  <si>
    <t>structlog</t>
  </si>
  <si>
    <t>^24.4.0</t>
  </si>
  <si>
    <t>Structured logging</t>
  </si>
  <si>
    <t>httpx</t>
  </si>
  <si>
    <t>^0.28.1</t>
  </si>
  <si>
    <t>HTTP client</t>
  </si>
  <si>
    <t>npm</t>
  </si>
  <si>
    <t>react</t>
  </si>
  <si>
    <t>^19.0.0</t>
  </si>
  <si>
    <t>UI framework</t>
  </si>
  <si>
    <t>react-dom</t>
  </si>
  <si>
    <t>React DOM renderer</t>
  </si>
  <si>
    <t>livekit-client</t>
  </si>
  <si>
    <t>^2.5.0</t>
  </si>
  <si>
    <t>LiveKit client SDK</t>
  </si>
  <si>
    <t>@livekit/components-react</t>
  </si>
  <si>
    <t>LiveKit React components</t>
  </si>
  <si>
    <t>@livekit/components-styles</t>
  </si>
  <si>
    <t>^1.1.0</t>
  </si>
  <si>
    <t>LiveKit component styles</t>
  </si>
  <si>
    <t>react-router-dom</t>
  </si>
  <si>
    <t>^7.1.0</t>
  </si>
  <si>
    <t>Client-side routing</t>
  </si>
  <si>
    <t>sonner</t>
  </si>
  <si>
    <t>^2.0.7</t>
  </si>
  <si>
    <t>Toast notifications</t>
  </si>
  <si>
    <t>next-themes</t>
  </si>
  <si>
    <t>^0.4.6</t>
  </si>
  <si>
    <t>Theme management</t>
  </si>
  <si>
    <t>@radix-ui/react-slot</t>
  </si>
  <si>
    <t>Slot component for Radix UI</t>
  </si>
  <si>
    <t>class-variance-authority</t>
  </si>
  <si>
    <t>^0.7.0</t>
  </si>
  <si>
    <t>Variant management for classes</t>
  </si>
  <si>
    <t>clsx</t>
  </si>
  <si>
    <t>^2.1.1</t>
  </si>
  <si>
    <t>Class name utility</t>
  </si>
  <si>
    <t>lucide-react</t>
  </si>
  <si>
    <t>^0.460.0</t>
  </si>
  <si>
    <t>ISC</t>
  </si>
  <si>
    <t>Icon library for React</t>
  </si>
  <si>
    <t>radix-ui</t>
  </si>
  <si>
    <t>^1.4.3</t>
  </si>
  <si>
    <t>Radix UI primitives</t>
  </si>
  <si>
    <t>tailwind-merge</t>
  </si>
  <si>
    <t>Tailwind class merging</t>
  </si>
  <si>
    <t>aiosqlite</t>
  </si>
  <si>
    <t>^0.22.1</t>
  </si>
  <si>
    <t>Async SQLite driver for testing</t>
  </si>
  <si>
    <t>Value</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</si>
  <si>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</si>
  <si>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</si>
  <si>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</si>
  <si>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</si>
  <si>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</si>
  <si>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</si>
  <si>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</si>
  <si>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</si>
  <si>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</si>
  <si>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</si>
  <si>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</si>
  <si>
    <t>Development Speed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</si>
</sst>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12">
    <font>
      <sz val="10.0"/>
      <color rgb="FF000000"/>
      <name val="Arial"/>
    </font>
    <font>
      <b/>
    </font>
    <font/>
    <font>
      <u/>
      <color rgb="FF0000FF"/>
    </font>
    <font>
      <u/>
      <color rgb="FF0000FF"/>
    </font>
    <font>
      <u/>
      <color rgb="FF0000FF"/>
    </font>
    <font>
      <b/>
      <name val="Arial"/>
    </font>
    <font>
      <name val="Arial"/>
    </font>
    <font>
      <color rgb="FFFFFFFF"/>
      <name val="Arial"/>
    </font>
    <font>
      <b/>
      <color rgb="FFFF0000"/>
      <name val="Arial"/>
    </font>
    <font>
      <b/>
      <sz val="24.0"/>
      <name val="Arial"/>
    </font>
    <font>
      <color rgb="FF000000"/>
      <name val="Arial"/>
    </font>
  </fonts>
  <fills count="10">
    <fill>
      <patternFill patternType="none"/>
    </fill>
    <fill>
      <patternFill patternType="lightGray"/>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EFEFEF"/>
        <bgColor rgb="FFEFEFEF"/>
      </patternFill>
    </fill>
  </fills>
  <borders count="1">
    <border/>
  </borders>
  <cellStyleXfs count="1">
    <xf borderId="0" fillId="0" fontId="0" numFmtId="0" applyAlignment="1" applyFont="1"/>
  </cellStyleXfs>
  <cellXfs count="129">
    <xf borderId="0" fillId="0" fontId="0" numFmtId="0" xfId="0" applyAlignment="1" applyFont="1">
      <alignment readingOrder="0" shrinkToFit="0" vertical="bottom" wrapText="1"/>
    </xf>
    <xf borderId="0" fillId="0"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1" numFmtId="0" xfId="0" applyAlignment="1" applyFont="1">
      <alignment readingOrder="0" shrinkToFit="0" wrapText="1"/>
    </xf>
    <xf borderId="0" fillId="0" fontId="5" numFmtId="0" xfId="0" applyAlignment="1" applyFont="1">
      <alignment readingOrder="0" shrinkToFit="0" wrapText="1"/>
    </xf>
    <xf borderId="0" fillId="0" fontId="1"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shrinkToFit="0" wrapText="0"/>
    </xf>
    <xf borderId="0" fillId="0" fontId="1" numFmtId="0" xfId="0" applyAlignment="1" applyFont="1">
      <alignment shrinkToFit="0" wrapText="0"/>
    </xf>
    <xf borderId="0" fillId="2" fontId="1" numFmtId="0" xfId="0" applyAlignment="1" applyFill="1" applyFont="1">
      <alignment horizontal="center" readingOrder="0" shrinkToFit="0" wrapText="0"/>
    </xf>
    <xf borderId="0" fillId="2" fontId="1" numFmtId="0" xfId="0" applyAlignment="1" applyFont="1">
      <alignment horizontal="center" shrinkToFit="0"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2" numFmtId="0" xfId="0" applyAlignment="1" applyFont="1">
      <alignment horizontal="center" shrinkToFit="0" wrapText="0"/>
    </xf>
    <xf borderId="0" fillId="0" fontId="2" numFmtId="164" xfId="0" applyAlignment="1" applyFont="1" applyNumberFormat="1">
      <alignment readingOrder="0" shrinkToFit="0" wrapText="0"/>
    </xf>
    <xf borderId="0" fillId="0" fontId="2" numFmtId="165" xfId="0" applyAlignment="1" applyFont="1" applyNumberFormat="1">
      <alignment horizontal="left" readingOrder="0" shrinkToFit="0" wrapText="0"/>
    </xf>
    <xf borderId="0" fillId="0" fontId="2" numFmtId="164" xfId="0" applyAlignment="1" applyFont="1" applyNumberFormat="1">
      <alignment shrinkToFit="0" wrapText="0"/>
    </xf>
    <xf borderId="0" fillId="0" fontId="2" numFmtId="0" xfId="0" applyAlignment="1" applyFont="1">
      <alignment horizontal="left" readingOrder="0" shrinkToFit="0" wrapText="0"/>
    </xf>
    <xf borderId="0" fillId="0" fontId="2" numFmtId="165" xfId="0" applyAlignment="1" applyFont="1" applyNumberFormat="1">
      <alignment shrinkToFit="0" wrapText="0"/>
    </xf>
    <xf borderId="0" fillId="0" fontId="2" numFmtId="165" xfId="0" applyAlignment="1" applyFont="1" applyNumberFormat="1">
      <alignment horizontal="left" shrinkToFit="0" wrapText="0"/>
    </xf>
    <xf borderId="0" fillId="0" fontId="2" numFmtId="165" xfId="0" applyAlignment="1" applyFont="1" applyNumberFormat="1">
      <alignment horizontal="left" shrinkToFit="0" wrapText="0"/>
    </xf>
    <xf borderId="0" fillId="0" fontId="2" numFmtId="0" xfId="0" applyAlignment="1" applyFont="1">
      <alignment horizontal="left" shrinkToFit="0" wrapText="0"/>
    </xf>
    <xf borderId="0" fillId="3" fontId="6" numFmtId="0" xfId="0" applyAlignment="1" applyFill="1" applyFont="1">
      <alignment shrinkToFit="0" vertical="bottom" wrapText="1"/>
    </xf>
    <xf borderId="0" fillId="3" fontId="7" numFmtId="0" xfId="0" applyAlignment="1" applyFont="1">
      <alignment readingOrder="0" shrinkToFit="0" vertical="bottom" wrapText="1"/>
    </xf>
    <xf borderId="0" fillId="4" fontId="7" numFmtId="0" xfId="0" applyAlignment="1" applyFill="1" applyFont="1">
      <alignment shrinkToFit="0" vertical="bottom" wrapText="1"/>
    </xf>
    <xf borderId="0" fillId="4" fontId="7" numFmtId="0" xfId="0" applyAlignment="1" applyFont="1">
      <alignment shrinkToFit="0" vertical="bottom" wrapText="1"/>
    </xf>
    <xf borderId="0" fillId="3" fontId="6" numFmtId="0" xfId="0" applyAlignment="1" applyFont="1">
      <alignment readingOrder="0" shrinkToFit="0" vertical="bottom" wrapText="1"/>
    </xf>
    <xf borderId="0" fillId="4" fontId="7" numFmtId="0" xfId="0" applyAlignment="1" applyFont="1">
      <alignment readingOrder="0" shrinkToFit="0" vertical="bottom" wrapText="1"/>
    </xf>
    <xf borderId="0" fillId="3" fontId="6" numFmtId="0" xfId="0" applyAlignment="1" applyFont="1">
      <alignment shrinkToFit="0" vertical="bottom" wrapText="1"/>
    </xf>
    <xf borderId="0" fillId="0" fontId="2" numFmtId="0" xfId="0" applyAlignment="1" applyFont="1">
      <alignment shrinkToFit="0" wrapText="1"/>
    </xf>
    <xf borderId="0" fillId="0" fontId="2" numFmtId="0" xfId="0" applyAlignment="1" applyFont="1">
      <alignment readingOrder="0" shrinkToFit="0" wrapText="1"/>
    </xf>
    <xf borderId="0" fillId="2" fontId="1" numFmtId="0" xfId="0" applyAlignment="1" applyFont="1">
      <alignment readingOrder="0" shrinkToFit="0" wrapText="1"/>
    </xf>
    <xf borderId="0" fillId="3" fontId="2" numFmtId="0" xfId="0" applyAlignment="1" applyFont="1">
      <alignment shrinkToFit="0" wrapText="1"/>
    </xf>
    <xf borderId="0" fillId="3" fontId="2" numFmtId="0" xfId="0" applyAlignment="1" applyFont="1">
      <alignment readingOrder="0" shrinkToFit="0" wrapText="1"/>
    </xf>
    <xf borderId="0" fillId="4" fontId="7" numFmtId="0" xfId="0" applyAlignment="1" applyFont="1">
      <alignment readingOrder="0" shrinkToFit="0" vertical="top" wrapText="1"/>
    </xf>
    <xf borderId="0" fillId="0" fontId="1" numFmtId="0" xfId="0" applyAlignment="1" applyFont="1">
      <alignment shrinkToFit="0" wrapText="1"/>
    </xf>
    <xf borderId="0" fillId="0" fontId="2" numFmtId="0" xfId="0" applyAlignment="1" applyFont="1">
      <alignment readingOrder="0" shrinkToFit="0" vertical="center"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left" shrinkToFit="0" wrapText="1"/>
    </xf>
    <xf borderId="0" fillId="2" fontId="6" numFmtId="0" xfId="0" applyAlignment="1" applyFont="1">
      <alignment horizontal="left" shrinkToFit="0" vertical="bottom" wrapText="1"/>
    </xf>
    <xf borderId="0" fillId="2" fontId="6" numFmtId="0" xfId="0" applyAlignment="1" applyFont="1">
      <alignment shrinkToFit="0" vertical="bottom" wrapText="0"/>
    </xf>
    <xf borderId="0" fillId="2" fontId="6" numFmtId="0" xfId="0" applyAlignment="1" applyFont="1">
      <alignment shrinkToFit="0" vertical="bottom" wrapText="0"/>
    </xf>
    <xf borderId="0" fillId="2" fontId="6" numFmtId="0" xfId="0" applyAlignment="1" applyFont="1">
      <alignment horizontal="center" readingOrder="0" shrinkToFit="0" vertical="bottom" wrapText="1"/>
    </xf>
    <xf borderId="0" fillId="3" fontId="7" numFmtId="0" xfId="0" applyAlignment="1" applyFont="1">
      <alignment horizontal="left" shrinkToFit="0" vertical="bottom" wrapText="1"/>
    </xf>
    <xf borderId="0" fillId="3" fontId="7" numFmtId="0" xfId="0" applyAlignment="1" applyFont="1">
      <alignment shrinkToFit="0" vertical="bottom" wrapText="0"/>
    </xf>
    <xf borderId="0" fillId="3" fontId="7" numFmtId="0" xfId="0" applyAlignment="1" applyFont="1">
      <alignment shrinkToFit="0" vertical="bottom" wrapText="1"/>
    </xf>
    <xf borderId="0" fillId="5" fontId="6" numFmtId="0" xfId="0" applyAlignment="1" applyFill="1" applyFont="1">
      <alignment horizontal="left" shrinkToFit="0" vertical="bottom" wrapText="0"/>
    </xf>
    <xf borderId="0" fillId="5" fontId="7" numFmtId="0" xfId="0" applyAlignment="1" applyFont="1">
      <alignment shrinkToFit="0" vertical="bottom" wrapText="0"/>
    </xf>
    <xf borderId="0" fillId="5" fontId="7" numFmtId="0" xfId="0" applyAlignment="1" applyFont="1">
      <alignment shrinkToFit="0" vertical="bottom" wrapText="1"/>
    </xf>
    <xf borderId="0" fillId="4" fontId="6" numFmtId="0" xfId="0" applyAlignment="1" applyFont="1">
      <alignment shrinkToFit="0" vertical="bottom" wrapText="0"/>
    </xf>
    <xf borderId="0" fillId="0" fontId="2" numFmtId="0" xfId="0" applyAlignment="1" applyFont="1">
      <alignment shrinkToFit="0" wrapText="0"/>
    </xf>
    <xf borderId="0" fillId="4" fontId="7" numFmtId="0" xfId="0" applyAlignment="1" applyFont="1">
      <alignment horizontal="right" shrinkToFit="0" vertical="bottom" wrapText="0"/>
    </xf>
    <xf borderId="0" fillId="6" fontId="6" numFmtId="0" xfId="0" applyAlignment="1" applyFill="1" applyFont="1">
      <alignment horizontal="left" shrinkToFit="0" vertical="bottom" wrapText="0"/>
    </xf>
    <xf borderId="0" fillId="6" fontId="6" numFmtId="0" xfId="0" applyAlignment="1" applyFont="1">
      <alignment shrinkToFit="0" vertical="bottom" wrapText="0"/>
    </xf>
    <xf borderId="0" fillId="6" fontId="7" numFmtId="0" xfId="0" applyAlignment="1" applyFont="1">
      <alignment shrinkToFit="0" vertical="bottom" wrapText="1"/>
    </xf>
    <xf borderId="0" fillId="3" fontId="8" numFmtId="0" xfId="0" applyAlignment="1" applyFont="1">
      <alignment horizontal="left" readingOrder="0" shrinkToFit="0" vertical="bottom" wrapText="1"/>
    </xf>
    <xf borderId="0" fillId="3" fontId="8" numFmtId="0" xfId="0" applyAlignment="1" applyFont="1">
      <alignment horizontal="center" readingOrder="0" shrinkToFit="0" vertical="bottom" wrapText="0"/>
    </xf>
    <xf borderId="0" fillId="4" fontId="7" numFmtId="0" xfId="0" applyAlignment="1" applyFont="1">
      <alignment horizontal="left" shrinkToFit="0" vertical="bottom" wrapText="1"/>
    </xf>
    <xf borderId="0" fillId="3" fontId="7" numFmtId="0" xfId="0" applyAlignment="1" applyFont="1">
      <alignment horizontal="right" shrinkToFit="0" vertical="bottom" wrapText="0"/>
    </xf>
    <xf borderId="0" fillId="3" fontId="7" numFmtId="0" xfId="0" applyAlignment="1" applyFont="1">
      <alignment horizontal="left" readingOrder="0" shrinkToFit="0" vertical="bottom" wrapText="1"/>
    </xf>
    <xf borderId="0" fillId="3" fontId="7" numFmtId="0" xfId="0" applyAlignment="1" applyFont="1">
      <alignment shrinkToFit="0" vertical="bottom" wrapText="0"/>
    </xf>
    <xf borderId="0" fillId="4" fontId="7" numFmtId="0" xfId="0" applyAlignment="1" applyFont="1">
      <alignment horizontal="left" readingOrder="0" shrinkToFit="0" vertical="bottom" wrapText="1"/>
    </xf>
    <xf borderId="0" fillId="0" fontId="2" numFmtId="0" xfId="0" applyAlignment="1" applyFont="1">
      <alignment horizontal="left" readingOrder="0" shrinkToFit="0" wrapText="1"/>
    </xf>
    <xf borderId="0" fillId="7" fontId="6" numFmtId="0" xfId="0" applyAlignment="1" applyFill="1" applyFont="1">
      <alignment horizontal="left" shrinkToFit="0" vertical="bottom" wrapText="0"/>
    </xf>
    <xf borderId="0" fillId="7" fontId="6" numFmtId="0" xfId="0" applyAlignment="1" applyFont="1">
      <alignment shrinkToFit="0" vertical="bottom" wrapText="0"/>
    </xf>
    <xf borderId="0" fillId="7" fontId="7" numFmtId="0" xfId="0" applyAlignment="1" applyFont="1">
      <alignment shrinkToFit="0" vertical="bottom" wrapText="1"/>
    </xf>
    <xf borderId="0" fillId="3" fontId="6" numFmtId="0" xfId="0" applyAlignment="1" applyFont="1">
      <alignment horizontal="left" shrinkToFit="0" vertical="bottom" wrapText="0"/>
    </xf>
    <xf borderId="0" fillId="3" fontId="6" numFmtId="0" xfId="0" applyAlignment="1" applyFont="1">
      <alignment readingOrder="0" shrinkToFit="0" vertical="bottom" wrapText="0"/>
    </xf>
    <xf borderId="0" fillId="4" fontId="7" numFmtId="0" xfId="0" applyAlignment="1" applyFont="1">
      <alignment shrinkToFit="0" vertical="bottom" wrapText="0"/>
    </xf>
    <xf borderId="0" fillId="3" fontId="7" numFmtId="0" xfId="0" applyAlignment="1" applyFont="1">
      <alignment horizontal="right" shrinkToFit="0" vertical="bottom" wrapText="0"/>
    </xf>
    <xf borderId="0" fillId="3" fontId="7" numFmtId="0" xfId="0" applyAlignment="1" applyFont="1">
      <alignment horizontal="left" shrinkToFit="0" vertical="bottom" wrapText="1"/>
    </xf>
    <xf borderId="0" fillId="3" fontId="7" numFmtId="0" xfId="0" applyAlignment="1" applyFont="1">
      <alignment readingOrder="0" shrinkToFit="0" vertical="bottom" wrapText="0"/>
    </xf>
    <xf borderId="0" fillId="4" fontId="7" numFmtId="0" xfId="0" applyAlignment="1" applyFont="1">
      <alignment horizontal="right" readingOrder="0" shrinkToFit="0" vertical="bottom" wrapText="1"/>
    </xf>
    <xf borderId="0" fillId="4" fontId="6" numFmtId="0" xfId="0" applyAlignment="1" applyFont="1">
      <alignment shrinkToFit="0" vertical="bottom" wrapText="0"/>
    </xf>
    <xf borderId="0" fillId="3" fontId="6" numFmtId="0" xfId="0" applyAlignment="1" applyFont="1">
      <alignment shrinkToFit="0" vertical="bottom" wrapText="0"/>
    </xf>
    <xf borderId="0" fillId="4" fontId="6" numFmtId="0" xfId="0" applyAlignment="1" applyFont="1">
      <alignment shrinkToFit="0" vertical="bottom" wrapText="1"/>
    </xf>
    <xf borderId="0" fillId="4" fontId="7" numFmtId="0" xfId="0" applyAlignment="1" applyFont="1">
      <alignment horizontal="right" readingOrder="0" shrinkToFit="0" vertical="bottom" wrapText="0"/>
    </xf>
    <xf borderId="0" fillId="3" fontId="7" numFmtId="0" xfId="0" applyAlignment="1" applyFont="1">
      <alignment horizontal="right" readingOrder="0" shrinkToFit="0" vertical="bottom" wrapText="0"/>
    </xf>
    <xf borderId="0" fillId="4" fontId="2" numFmtId="0" xfId="0" applyAlignment="1" applyFont="1">
      <alignment shrinkToFit="0" wrapText="1"/>
    </xf>
    <xf borderId="0" fillId="4" fontId="9" numFmtId="0" xfId="0" applyAlignment="1" applyFont="1">
      <alignment shrinkToFit="0" vertical="bottom" wrapText="1"/>
    </xf>
    <xf borderId="0" fillId="8" fontId="1" numFmtId="0" xfId="0" applyAlignment="1" applyFill="1" applyFont="1">
      <alignment horizontal="left" readingOrder="0" shrinkToFit="0" wrapText="1"/>
    </xf>
    <xf borderId="0" fillId="2" fontId="6" numFmtId="0" xfId="0" applyAlignment="1" applyFont="1">
      <alignment shrinkToFit="0" vertical="bottom" wrapText="1"/>
    </xf>
    <xf borderId="0" fillId="6" fontId="6" numFmtId="0" xfId="0" applyAlignment="1" applyFont="1">
      <alignment shrinkToFit="0" vertical="bottom" wrapText="0"/>
    </xf>
    <xf borderId="0" fillId="3" fontId="8" numFmtId="0" xfId="0" applyAlignment="1" applyFont="1">
      <alignment horizontal="center" shrinkToFit="0" vertical="bottom" wrapText="0"/>
    </xf>
    <xf borderId="0" fillId="3" fontId="7" numFmtId="0" xfId="0" applyAlignment="1" applyFont="1">
      <alignment shrinkToFit="0" vertical="bottom" wrapText="1"/>
    </xf>
    <xf borderId="0" fillId="8" fontId="1" numFmtId="0" xfId="0" applyAlignment="1" applyFont="1">
      <alignment readingOrder="0" shrinkToFit="0" wrapText="0"/>
    </xf>
    <xf borderId="0" fillId="2" fontId="6" numFmtId="0" xfId="0" applyAlignment="1" applyFont="1">
      <alignment shrinkToFit="0" vertical="bottom" wrapText="1"/>
    </xf>
    <xf borderId="0" fillId="2" fontId="6" numFmtId="0" xfId="0" applyAlignment="1" applyFont="1">
      <alignment readingOrder="0" shrinkToFit="0" vertical="bottom" wrapText="0"/>
    </xf>
    <xf borderId="0" fillId="2" fontId="6" numFmtId="0" xfId="0" applyAlignment="1" applyFont="1">
      <alignment shrinkToFit="0" vertical="center" wrapText="1"/>
    </xf>
    <xf borderId="0" fillId="2" fontId="6" numFmtId="0" xfId="0" applyAlignment="1" applyFont="1">
      <alignment horizontal="center" shrinkToFit="0" vertical="center" wrapText="1"/>
    </xf>
    <xf borderId="0" fillId="2" fontId="6" numFmtId="4" xfId="0" applyAlignment="1" applyFont="1" applyNumberFormat="1">
      <alignment shrinkToFit="0" vertical="center" wrapText="1"/>
    </xf>
    <xf borderId="0" fillId="2" fontId="7" numFmtId="4" xfId="0" applyAlignment="1" applyFont="1" applyNumberFormat="1">
      <alignment shrinkToFit="0" vertical="center" wrapText="1"/>
    </xf>
    <xf borderId="0" fillId="2" fontId="7" numFmtId="0" xfId="0" applyAlignment="1" applyFont="1">
      <alignment shrinkToFit="0" vertical="center" wrapText="1"/>
    </xf>
    <xf borderId="0" fillId="2" fontId="1" numFmtId="0" xfId="0" applyAlignment="1" applyFont="1">
      <alignment shrinkToFit="0" vertical="center" wrapText="1"/>
    </xf>
    <xf borderId="0" fillId="3" fontId="6" numFmtId="0" xfId="0" applyAlignment="1" applyFont="1">
      <alignment shrinkToFit="0" vertical="center" wrapText="1"/>
    </xf>
    <xf borderId="0" fillId="8" fontId="7" numFmtId="0" xfId="0" applyAlignment="1" applyFont="1">
      <alignment horizontal="center" readingOrder="0" shrinkToFit="0" vertical="center" wrapText="1"/>
    </xf>
    <xf borderId="0" fillId="3" fontId="7" numFmtId="4" xfId="0" applyAlignment="1" applyFont="1" applyNumberFormat="1">
      <alignment shrinkToFit="0" vertical="center" wrapText="1"/>
    </xf>
    <xf borderId="0" fillId="7" fontId="10" numFmtId="4" xfId="0" applyAlignment="1" applyFont="1" applyNumberFormat="1">
      <alignment horizontal="center" shrinkToFit="0" vertical="center" wrapText="1"/>
    </xf>
    <xf borderId="0" fillId="7" fontId="10" numFmtId="0" xfId="0" applyAlignment="1" applyFont="1">
      <alignment horizontal="center" shrinkToFit="0" vertical="center" wrapText="1"/>
    </xf>
    <xf borderId="0" fillId="3" fontId="2" numFmtId="0" xfId="0" applyAlignment="1" applyFont="1">
      <alignment shrinkToFit="0" vertical="center" wrapText="1"/>
    </xf>
    <xf borderId="0" fillId="4" fontId="6" numFmtId="0" xfId="0" applyAlignment="1" applyFont="1">
      <alignment shrinkToFit="0" vertical="center" wrapText="1"/>
    </xf>
    <xf borderId="0" fillId="4" fontId="7" numFmtId="4" xfId="0" applyAlignment="1" applyFont="1" applyNumberFormat="1">
      <alignment shrinkToFit="0" vertical="center" wrapText="1"/>
    </xf>
    <xf borderId="0" fillId="4" fontId="2" numFmtId="0" xfId="0" applyAlignment="1" applyFont="1">
      <alignment shrinkToFit="0" vertical="center" wrapText="1"/>
    </xf>
    <xf borderId="0" fillId="8" fontId="7" numFmtId="0" xfId="0" applyAlignment="1" applyFont="1">
      <alignment horizontal="center" shrinkToFit="0" vertical="center" wrapText="1"/>
    </xf>
    <xf borderId="0" fillId="8" fontId="7" numFmtId="0" xfId="0" applyAlignment="1" applyFont="1">
      <alignment horizontal="center" shrinkToFit="0" vertical="center" wrapText="1"/>
    </xf>
    <xf borderId="0" fillId="4" fontId="7" numFmtId="0" xfId="0" applyAlignment="1" applyFont="1">
      <alignment shrinkToFit="0" vertical="center" wrapText="1"/>
    </xf>
    <xf borderId="0" fillId="3" fontId="7" numFmtId="0" xfId="0" applyAlignment="1" applyFont="1">
      <alignment shrinkToFit="0" vertical="center" wrapText="1"/>
    </xf>
    <xf borderId="0" fillId="6" fontId="7" numFmtId="0" xfId="0" applyAlignment="1" applyFont="1">
      <alignment horizontal="center" shrinkToFit="0" vertical="center" wrapText="1"/>
    </xf>
    <xf borderId="0" fillId="6" fontId="7" numFmtId="0" xfId="0" applyAlignment="1" applyFont="1">
      <alignment readingOrder="0" shrinkToFit="0" vertical="center" wrapText="1"/>
    </xf>
    <xf borderId="0" fillId="3" fontId="1" numFmtId="0" xfId="0" applyAlignment="1" applyFont="1">
      <alignment shrinkToFit="0" wrapText="0"/>
    </xf>
    <xf borderId="0" fillId="3" fontId="1" numFmtId="0" xfId="0" applyAlignment="1" applyFont="1">
      <alignment shrinkToFit="0" wrapText="0"/>
    </xf>
    <xf borderId="0" fillId="4" fontId="2" numFmtId="0" xfId="0" applyAlignment="1" applyFont="1">
      <alignment shrinkToFit="0" wrapText="0"/>
    </xf>
    <xf borderId="0" fillId="3" fontId="2" numFmtId="0" xfId="0" applyAlignment="1" applyFont="1">
      <alignment shrinkToFit="0" wrapText="0"/>
    </xf>
    <xf borderId="0" fillId="3" fontId="2" numFmtId="0" xfId="0" applyAlignment="1" applyFont="1">
      <alignment shrinkToFit="0" wrapText="0"/>
    </xf>
    <xf borderId="0" fillId="4" fontId="2" numFmtId="0" xfId="0" applyAlignment="1" applyFont="1">
      <alignment shrinkToFit="0" wrapText="0"/>
    </xf>
    <xf borderId="0" fillId="2" fontId="6" numFmtId="0" xfId="0" applyAlignment="1" applyFont="1">
      <alignment horizontal="center" readingOrder="0" shrinkToFit="0" vertical="bottom" wrapText="1"/>
    </xf>
    <xf borderId="0" fillId="0" fontId="2" numFmtId="0" xfId="0" applyAlignment="1" applyFont="1">
      <alignment horizontal="left" readingOrder="0" shrinkToFit="0" wrapText="1"/>
    </xf>
    <xf borderId="0" fillId="3" fontId="7" numFmtId="0" xfId="0" applyAlignment="1" applyFont="1">
      <alignment shrinkToFit="0" vertical="bottom" wrapText="1"/>
    </xf>
    <xf borderId="0" fillId="5" fontId="7" numFmtId="0" xfId="0" applyAlignment="1" applyFont="1">
      <alignment shrinkToFit="0" vertical="bottom" wrapText="1"/>
    </xf>
    <xf borderId="0" fillId="4" fontId="7" numFmtId="0" xfId="0" applyAlignment="1" applyFont="1">
      <alignment shrinkToFit="0" vertical="bottom" wrapText="1"/>
    </xf>
    <xf borderId="0" fillId="6" fontId="7" numFmtId="0" xfId="0" applyAlignment="1" applyFont="1">
      <alignment shrinkToFit="0" vertical="bottom" wrapText="1"/>
    </xf>
    <xf borderId="0" fillId="9" fontId="11" numFmtId="0" xfId="0" applyAlignment="1" applyFill="1" applyFont="1">
      <alignment horizontal="center" readingOrder="0" shrinkToFit="0" vertical="bottom" wrapText="0"/>
    </xf>
    <xf borderId="0" fillId="4" fontId="7" numFmtId="0" xfId="0" applyAlignment="1" applyFont="1">
      <alignment horizontal="right" shrinkToFit="0" vertical="bottom"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4">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 count="3" pivot="0" name="Calculations-style">
      <tableStyleElement dxfId="1" type="headerRow"/>
      <tableStyleElement dxfId="2" type="firstRowStripe"/>
      <tableStyleElement dxfId="3" type="secondRowStripe"/>
    </tableStyle>
    <tableStyle count="3" pivot="0" name="Calculations-style 2">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9.xml"/><Relationship Id="rId12" Type="http://schemas.openxmlformats.org/officeDocument/2006/relationships/chartsheet" Target="chartsheets/sheet1.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0.xml"/><Relationship Id="rId14" Type="http://schemas.openxmlformats.org/officeDocument/2006/relationships/chartsheet" Target="chartsheets/sheet2.xml"/><Relationship Id="rId17" Type="http://schemas.openxmlformats.org/officeDocument/2006/relationships/worksheet" Target="worksheets/sheet12.xml"/><Relationship Id="rId16" Type="http://schemas.openxmlformats.org/officeDocument/2006/relationships/worksheet" Target="worksheets/sheet11.xml"/><Relationship Id="rId5" Type="http://schemas.openxmlformats.org/officeDocument/2006/relationships/worksheet" Target="worksheets/sheet2.xml"/><Relationship Id="rId19" Type="http://schemas.openxmlformats.org/officeDocument/2006/relationships/worksheet" Target="worksheets/sheet14.xml"/><Relationship Id="rId6" Type="http://schemas.openxmlformats.org/officeDocument/2006/relationships/worksheet" Target="worksheets/sheet3.xml"/><Relationship Id="rId18" Type="http://schemas.openxmlformats.org/officeDocument/2006/relationships/worksheet" Target="worksheets/sheet1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Burndown Chart - Mid Release</a:t>
            </a:r>
          </a:p>
        </c:rich>
      </c:tx>
      <c:overlay val="0"/>
    </c:title>
    <c:plotArea>
      <c:layout/>
      <c:barChart>
        <c:barDir val="col"/>
        <c:ser>
          <c:idx val="0"/>
          <c:order val="0"/>
          <c:tx>
            <c:strRef>
              <c:f>'Mid-Project Release plan'!$B$8</c:f>
            </c:strRef>
          </c:tx>
          <c:spPr>
            <a:solidFill>
              <a:srgbClr val="674EA7"/>
            </a:solidFill>
            <a:ln cmpd="sng">
              <a:solidFill>
                <a:srgbClr val="674EA7">
                  <a:alpha val="100000"/>
                </a:srgbClr>
              </a:solidFill>
            </a:ln>
          </c:spPr>
          <c:dLbls>
            <c:numFmt formatCode="General" sourceLinked="1"/>
            <c:txPr>
              <a:bodyPr/>
              <a:lstStyle/>
              <a:p>
                <a:pPr lvl="0">
                  <a:defRPr b="1"/>
                </a:pPr>
              </a:p>
            </c:txPr>
            <c:showLegendKey val="0"/>
            <c:showVal val="1"/>
            <c:showCatName val="0"/>
            <c:showSerName val="0"/>
            <c:showPercent val="0"/>
            <c:showBubbleSize val="0"/>
          </c:dLbls>
          <c:cat>
            <c:strRef>
              <c:f>'Mid-Project Release plan'!$A$9:$A$15</c:f>
            </c:strRef>
          </c:cat>
          <c:val>
            <c:numRef>
              <c:f>'Mid-Project Release plan'!$B$9:$B$15</c:f>
              <c:numCache/>
            </c:numRef>
          </c:val>
        </c:ser>
        <c:ser>
          <c:idx val="1"/>
          <c:order val="1"/>
          <c:tx>
            <c:strRef>
              <c:f>'Mid-Project Release plan'!$C$8</c:f>
            </c:strRef>
          </c:tx>
          <c:spPr>
            <a:solidFill>
              <a:srgbClr val="A4C2F4"/>
            </a:solidFill>
            <a:ln cmpd="sng">
              <a:solidFill>
                <a:srgbClr val="A4C2F4">
                  <a:alpha val="100000"/>
                </a:srgbClr>
              </a:solidFill>
            </a:ln>
          </c:spPr>
          <c:dLbls>
            <c:numFmt formatCode="General" sourceLinked="1"/>
            <c:txPr>
              <a:bodyPr/>
              <a:lstStyle/>
              <a:p>
                <a:pPr lvl="0">
                  <a:defRPr b="1"/>
                </a:pPr>
              </a:p>
            </c:txPr>
            <c:showLegendKey val="0"/>
            <c:showVal val="1"/>
            <c:showCatName val="0"/>
            <c:showSerName val="0"/>
            <c:showPercent val="0"/>
            <c:showBubbleSize val="0"/>
          </c:dLbls>
          <c:cat>
            <c:strRef>
              <c:f>'Mid-Project Release plan'!$A$9:$A$15</c:f>
            </c:strRef>
          </c:cat>
          <c:val>
            <c:numRef>
              <c:f>'Mid-Project Release plan'!$C$9:$C$15</c:f>
              <c:numCache/>
            </c:numRef>
          </c:val>
        </c:ser>
        <c:axId val="1525695232"/>
        <c:axId val="692996490"/>
      </c:barChart>
      <c:lineChart>
        <c:varyColors val="0"/>
        <c:ser>
          <c:idx val="2"/>
          <c:order val="2"/>
          <c:tx>
            <c:strRef>
              <c:f>'Mid-Project Release plan'!$E$8</c:f>
            </c:strRef>
          </c:tx>
          <c:spPr>
            <a:ln cmpd="sng">
              <a:solidFill>
                <a:srgbClr val="F4B400"/>
              </a:solidFill>
            </a:ln>
          </c:spPr>
          <c:marker>
            <c:symbol val="none"/>
          </c:marker>
          <c:cat>
            <c:strRef>
              <c:f>'Mid-Project Release plan'!$A$9:$A$15</c:f>
            </c:strRef>
          </c:cat>
          <c:val>
            <c:numRef>
              <c:f>'Mid-Project Release plan'!$E$9:$E$15</c:f>
              <c:numCache/>
            </c:numRef>
          </c:val>
          <c:smooth val="0"/>
        </c:ser>
        <c:axId val="1525695232"/>
        <c:axId val="692996490"/>
      </c:lineChart>
      <c:catAx>
        <c:axId val="1525695232"/>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692996490"/>
      </c:catAx>
      <c:valAx>
        <c:axId val="69299649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525695232"/>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Velocity Chart</a:t>
            </a:r>
          </a:p>
        </c:rich>
      </c:tx>
      <c:overlay val="0"/>
    </c:title>
    <c:plotArea>
      <c:layout/>
      <c:barChart>
        <c:barDir val="col"/>
        <c:grouping val="stacked"/>
        <c:ser>
          <c:idx val="0"/>
          <c:order val="0"/>
          <c:tx>
            <c:strRef>
              <c:f>'Velocity Tracking'!$B$1</c:f>
            </c:strRef>
          </c:tx>
          <c:spPr>
            <a:solidFill>
              <a:srgbClr val="3C78D8"/>
            </a:solidFill>
            <a:ln cmpd="sng">
              <a:solidFill>
                <a:srgbClr val="1C4587">
                  <a:alpha val="100000"/>
                </a:srgbClr>
              </a:solidFill>
            </a:ln>
          </c:spPr>
          <c:cat>
            <c:strRef>
              <c:f>'Velocity Tracking'!$A$2:$A$16</c:f>
            </c:strRef>
          </c:cat>
          <c:val>
            <c:numRef>
              <c:f>'Velocity Tracking'!$B$2:$B$16</c:f>
              <c:numCache/>
            </c:numRef>
          </c:val>
        </c:ser>
        <c:overlap val="100"/>
        <c:axId val="1329359503"/>
        <c:axId val="604929244"/>
      </c:barChart>
      <c:lineChart>
        <c:varyColors val="0"/>
        <c:ser>
          <c:idx val="1"/>
          <c:order val="1"/>
          <c:tx>
            <c:strRef>
              <c:f>Calculations!$C$1</c:f>
            </c:strRef>
          </c:tx>
          <c:spPr>
            <a:ln cmpd="sng">
              <a:solidFill>
                <a:srgbClr val="274E13">
                  <a:alpha val="100000"/>
                </a:srgbClr>
              </a:solidFill>
            </a:ln>
          </c:spPr>
          <c:marker>
            <c:symbol val="none"/>
          </c:marker>
          <c:cat>
            <c:strRef>
              <c:f>'Velocity Tracking'!$A$2:$A$16</c:f>
            </c:strRef>
          </c:cat>
          <c:val>
            <c:numRef>
              <c:f>Calculations!$C$2:$C$16</c:f>
              <c:numCache/>
            </c:numRef>
          </c:val>
          <c:smooth val="0"/>
        </c:ser>
        <c:axId val="1329359503"/>
        <c:axId val="604929244"/>
      </c:lineChart>
      <c:catAx>
        <c:axId val="1329359503"/>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604929244"/>
      </c:catAx>
      <c:valAx>
        <c:axId val="60492924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329359503"/>
      </c:valAx>
    </c:plotArea>
    <c:legend>
      <c:legendPos val="r"/>
      <c:overlay val="0"/>
      <c:txPr>
        <a:bodyPr/>
        <a:lstStyle/>
        <a:p>
          <a:pPr lvl="0">
            <a:defRPr b="0">
              <a:solidFill>
                <a:srgbClr val="000000"/>
              </a:solidFill>
              <a:latin typeface="Roboto"/>
            </a:defRPr>
          </a:pPr>
        </a:p>
      </c:txPr>
    </c:legend>
    <c:plotVisOnly val="1"/>
  </c:chart>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9.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11.xml"/></Relationships>
</file>

<file path=xl/chartsheets/sheet1.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chartsheets/sheet2.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drawings/_rels/drawing9.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1" name="Chart 1" title="Diagramm"/>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2" name="Chart 2" title="Diagramm"/>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20" displayName="Table_1" name="Table_1" id="1">
  <tableColumns count="2">
    <tableColumn name="Project Name" id="1"/>
    <tableColumn name="TaskOrbit Conversational Agent" id="2"/>
  </tableColumns>
  <tableStyleInfo name="Project Data-style" showColumnStripes="0" showFirstColumn="1" showLastColumn="1" showRowStripes="1"/>
</table>
</file>

<file path=xl/tables/table2.xml><?xml version="1.0" encoding="utf-8"?>
<table xmlns="http://schemas.openxmlformats.org/spreadsheetml/2006/main" ref="A1:D20"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ref="A1:B30" displayName="Table_4" name="Table_4" id="4">
  <tableColumns count="2">
    <tableColumn name="Goals" id="1"/>
    <tableColumn name=" Create a flawless and valuable project that the industry partner will be able to use. Create clean and reusable code and structures" id="2"/>
  </tableColumns>
  <tableStyleInfo name="Team Contract-style" showColumnStripes="0" showFirstColumn="1" showLastColumn="1" showRowStripes="1"/>
</table>
</file>

<file path=xl/tables/table5.xml><?xml version="1.0" encoding="utf-8"?>
<table xmlns="http://schemas.openxmlformats.org/spreadsheetml/2006/main" ref="A1:B20"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G66" displayName="Table_7" name="Table_7" id="7">
  <tableColumns count="7">
    <tableColumn name="Sprint" id="1"/>
    <tableColumn name="Goal" id="2"/>
    <tableColumn name="Feature Name" id="3"/>
    <tableColumn name="Est. size" id="4"/>
    <tableColumn name="Est. remaining" id="5"/>
    <tableColumn name="Real size" id="6"/>
    <tableColumn name="Real remaining" id="7"/>
  </tableColumns>
  <tableStyleInfo name="Mid-Project Release plan-style" showColumnStripes="0" showFirstColumn="1" showLastColumn="1" showRowStripes="1"/>
</table>
</file>

<file path=xl/tables/table8.xml><?xml version="1.0" encoding="utf-8"?>
<table xmlns="http://schemas.openxmlformats.org/spreadsheetml/2006/main" ref="A1:B20" displayName="Table_8" name="Table_8" id="8">
  <tableColumns count="2">
    <tableColumn name="Sprint #" id="1"/>
    <tableColumn name="Story Points Realized" id="2"/>
  </tableColumns>
  <tableStyleInfo name="Velocity Tracking-style" showColumnStripes="0" showFirstColumn="1" showLastColumn="1" showRowStripes="1"/>
</table>
</file>

<file path=xl/tables/table9.xml><?xml version="1.0" encoding="utf-8"?>
<table xmlns="http://schemas.openxmlformats.org/spreadsheetml/2006/main" ref="A1:G77" displayName="Table_9" name="Table_9" id="9">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0.xml><?xml version="1.0" encoding="utf-8"?>
<table xmlns="http://schemas.openxmlformats.org/spreadsheetml/2006/main" ref="A1:D20" displayName="Table_10" name="Table_10" id="10">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1.xml><?xml version="1.0" encoding="utf-8"?>
<table xmlns="http://schemas.openxmlformats.org/spreadsheetml/2006/main" ref="A1:B20" displayName="Table_11" name="Table_11" id="11">
  <tableColumns count="2">
    <tableColumn name="Type" id="1"/>
    <tableColumn name="Link / reference" id="2"/>
  </tableColumns>
  <tableStyleInfo name="Documentation-style" showColumnStripes="0" showFirstColumn="1" showLastColumn="1" showRowStripes="1"/>
</table>
</file>

<file path=xl/tables/table12.xml><?xml version="1.0" encoding="utf-8"?>
<table xmlns="http://schemas.openxmlformats.org/spreadsheetml/2006/main" ref="A1:F40" displayName="Table_12" name="Table_12" id="12">
  <tableColumns count="6">
    <tableColumn name="#" id="1"/>
    <tableColumn name="Context" id="2"/>
    <tableColumn name="Name" id="3"/>
    <tableColumn name="Version" id="4"/>
    <tableColumn name="License" id="5"/>
    <tableColumn name="Comment" id="6"/>
  </tableColumns>
  <tableStyleInfo name="Bill of Materials-style" showColumnStripes="0" showFirstColumn="1" showLastColumn="1" showRowStripes="1"/>
</table>
</file>

<file path=xl/tables/table13.xml><?xml version="1.0" encoding="utf-8"?>
<table xmlns="http://schemas.openxmlformats.org/spreadsheetml/2006/main" ref="A1:C16" displayName="Table_13" name="Table_13" id="13">
  <tableColumns count="3">
    <tableColumn name="Sprint #" id="1"/>
    <tableColumn name="Story Points Realized" id="2"/>
    <tableColumn name="Average (17 SP/s)" id="3"/>
  </tableColumns>
  <tableStyleInfo name="Calculations-style" showColumnStripes="0" showFirstColumn="1" showLastColumn="1" showRowStripes="1"/>
</table>
</file>

<file path=xl/tables/table14.xml><?xml version="1.0" encoding="utf-8"?>
<table xmlns="http://schemas.openxmlformats.org/spreadsheetml/2006/main" ref="F1:M15" displayName="Table_14" name="Table_14" id="14">
  <tableColumns count="8">
    <tableColumn name="Sprint" id="1"/>
    <tableColumn name="Goal" id="2"/>
    <tableColumn name="Feature Name" id="3"/>
    <tableColumn name="Est. size" id="4"/>
    <tableColumn name="Est. remaining" id="5"/>
    <tableColumn name="Real size" id="6"/>
    <tableColumn name="Real remaining" id="7"/>
    <tableColumn name="Development Speed" id="8"/>
  </tableColumns>
  <tableStyleInfo name="Calculations-style 2"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fau.zoom-x.de/j/65288966243?pwd=DnF4jxSAfJugyMmynzjE1BaaFprRbi.1" TargetMode="External"/><Relationship Id="rId2" Type="http://schemas.openxmlformats.org/officeDocument/2006/relationships/hyperlink" Target="https://github.com/amosproj/amos2026ss04-taskorbit-conversational-agent" TargetMode="External"/><Relationship Id="rId3" Type="http://schemas.openxmlformats.org/officeDocument/2006/relationships/hyperlink" Target="https://github.com/orgs/amosproj/projects/100/views/2" TargetMode="External"/><Relationship Id="rId4" Type="http://schemas.openxmlformats.org/officeDocument/2006/relationships/hyperlink" Target="https://github.com/orgs/amosproj/projects/104/views/1" TargetMode="External"/><Relationship Id="rId10" Type="http://schemas.openxmlformats.org/officeDocument/2006/relationships/table" Target="../tables/table1.xml"/><Relationship Id="rId5" Type="http://schemas.openxmlformats.org/officeDocument/2006/relationships/hyperlink" Target="https://github.com/amosproj/amos2026ss04-taskorbit-conversational-agent/blob/feature/team-logo-design/Deliverables/sprint-01/team-logo.png" TargetMode="External"/><Relationship Id="rId6" Type="http://schemas.openxmlformats.org/officeDocument/2006/relationships/hyperlink" Target="https://github.com/amosproj/amos2026ss04-taskorbit-conversational-agent/blob/feature/team-logo-design/Deliverables/sprint-01/team-logo.png" TargetMode="External"/><Relationship Id="rId7" Type="http://schemas.openxmlformats.org/officeDocument/2006/relationships/hyperlink" Target="https://discord.gg/usXpc5ab"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hyperlink" Target="https://github.com/amosproj/amos2026ss04-taskorbit-conversational-agent/blob/feature/team-logo-design/Deliverables/sprint-01/team-logo.png" TargetMode="External"/><Relationship Id="rId2" Type="http://schemas.openxmlformats.org/officeDocument/2006/relationships/drawing" Target="../drawings/drawing14.xml"/><Relationship Id="rId4"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7.xml"/><Relationship Id="rId4" Type="http://schemas.openxmlformats.org/officeDocument/2006/relationships/table" Target="../tables/table13.xml"/><Relationship Id="rId5"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1"/>
      <c r="B2" s="3"/>
    </row>
    <row r="3">
      <c r="A3" s="4" t="s">
        <v>2</v>
      </c>
      <c r="B3" s="5" t="s">
        <v>3</v>
      </c>
    </row>
    <row r="4">
      <c r="A4" s="1"/>
      <c r="B4" s="3"/>
    </row>
    <row r="5">
      <c r="A5" s="4" t="s">
        <v>4</v>
      </c>
      <c r="B5" s="2" t="s">
        <v>5</v>
      </c>
    </row>
    <row r="6">
      <c r="A6" s="4" t="s">
        <v>6</v>
      </c>
      <c r="B6" s="2" t="s">
        <v>7</v>
      </c>
    </row>
    <row r="7">
      <c r="A7" s="1"/>
      <c r="B7" s="3"/>
    </row>
    <row r="8">
      <c r="A8" s="4" t="s">
        <v>8</v>
      </c>
      <c r="B8" s="5" t="s">
        <v>9</v>
      </c>
    </row>
    <row r="9">
      <c r="A9" s="4" t="s">
        <v>10</v>
      </c>
      <c r="B9" s="6" t="s">
        <v>11</v>
      </c>
    </row>
    <row r="10">
      <c r="A10" s="4" t="s">
        <v>12</v>
      </c>
      <c r="B10" s="6" t="s">
        <v>13</v>
      </c>
    </row>
    <row r="11">
      <c r="A11" s="1"/>
      <c r="B11" s="3"/>
    </row>
    <row r="12">
      <c r="A12" s="7" t="s">
        <v>14</v>
      </c>
      <c r="B12" s="2" t="s">
        <v>15</v>
      </c>
    </row>
    <row r="13">
      <c r="A13" s="4" t="s">
        <v>16</v>
      </c>
      <c r="B13" s="6" t="s">
        <v>17</v>
      </c>
    </row>
    <row r="14">
      <c r="A14" s="4" t="s">
        <v>18</v>
      </c>
      <c r="B14" s="8" t="s">
        <v>17</v>
      </c>
    </row>
    <row r="15">
      <c r="A15" s="1"/>
      <c r="B15" s="3"/>
    </row>
    <row r="16">
      <c r="A16" s="1" t="s">
        <v>19</v>
      </c>
      <c r="B16" s="6" t="s">
        <v>20</v>
      </c>
    </row>
    <row r="17">
      <c r="A17" s="1"/>
      <c r="B17" s="3"/>
    </row>
    <row r="18">
      <c r="A18" s="4" t="s">
        <v>21</v>
      </c>
      <c r="B18" s="2" t="s">
        <v>22</v>
      </c>
    </row>
    <row r="19">
      <c r="A19" s="1"/>
      <c r="B19" s="3"/>
    </row>
    <row r="20">
      <c r="A20" s="1"/>
      <c r="B20" s="3"/>
    </row>
  </sheetData>
  <dataValidations>
    <dataValidation type="list" allowBlank="1" showErrorMessage="1" sqref="B12">
      <formula1>"Upper Torso Center Large,Upper Torso Right Small"</formula1>
    </dataValidation>
  </dataValidations>
  <hyperlinks>
    <hyperlink r:id="rId1" ref="B3"/>
    <hyperlink r:id="rId2" ref="B8"/>
    <hyperlink r:id="rId3" ref="B9"/>
    <hyperlink r:id="rId4" ref="B10"/>
    <hyperlink r:id="rId5" ref="B13"/>
    <hyperlink r:id="rId6" ref="B14"/>
    <hyperlink r:id="rId7" ref="B16"/>
  </hyperlinks>
  <printOptions gridLines="1" horizontalCentered="1"/>
  <pageMargins bottom="0.75" footer="0.0" header="0.0" left="0.7" right="0.7" top="0.75"/>
  <pageSetup fitToHeight="0" paperSize="9" cellComments="atEnd" orientation="landscape" pageOrder="overThenDown"/>
  <drawing r:id="rId8"/>
  <tableParts count="1">
    <tablePart r:id="rId10"/>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4" width="31.38"/>
  </cols>
  <sheetData>
    <row r="1">
      <c r="A1" s="9" t="s">
        <v>23</v>
      </c>
      <c r="B1" s="9" t="s">
        <v>24</v>
      </c>
      <c r="C1" s="9" t="s">
        <v>25</v>
      </c>
      <c r="D1" s="9" t="s">
        <v>26</v>
      </c>
    </row>
    <row r="2">
      <c r="A2" s="10" t="s">
        <v>27</v>
      </c>
      <c r="B2" s="10" t="s">
        <v>28</v>
      </c>
      <c r="C2" s="10" t="s">
        <v>29</v>
      </c>
      <c r="D2" s="10" t="s">
        <v>30</v>
      </c>
    </row>
    <row r="3">
      <c r="A3" s="10" t="s">
        <v>31</v>
      </c>
      <c r="B3" s="10" t="s">
        <v>32</v>
      </c>
      <c r="C3" s="10" t="s">
        <v>33</v>
      </c>
      <c r="D3" s="10" t="s">
        <v>34</v>
      </c>
    </row>
    <row r="4">
      <c r="A4" s="10" t="s">
        <v>35</v>
      </c>
      <c r="B4" s="10" t="s">
        <v>36</v>
      </c>
      <c r="C4" s="10" t="s">
        <v>37</v>
      </c>
      <c r="D4" s="10" t="s">
        <v>38</v>
      </c>
    </row>
    <row r="5">
      <c r="A5" s="10" t="s">
        <v>39</v>
      </c>
      <c r="B5" s="11" t="s">
        <v>40</v>
      </c>
      <c r="C5" s="10" t="s">
        <v>41</v>
      </c>
      <c r="D5" s="10" t="s">
        <v>42</v>
      </c>
    </row>
    <row r="6">
      <c r="A6" s="10" t="s">
        <v>43</v>
      </c>
      <c r="B6" s="10" t="s">
        <v>44</v>
      </c>
      <c r="C6" s="10" t="s">
        <v>45</v>
      </c>
      <c r="D6" s="10" t="s">
        <v>46</v>
      </c>
    </row>
    <row r="7">
      <c r="A7" s="10" t="s">
        <v>47</v>
      </c>
      <c r="B7" s="10" t="s">
        <v>48</v>
      </c>
      <c r="C7" s="10" t="s">
        <v>49</v>
      </c>
      <c r="D7" s="10" t="s">
        <v>50</v>
      </c>
    </row>
    <row r="8">
      <c r="A8" s="10" t="s">
        <v>51</v>
      </c>
      <c r="B8" s="10" t="s">
        <v>52</v>
      </c>
      <c r="C8" s="10" t="s">
        <v>53</v>
      </c>
      <c r="D8" s="10" t="s">
        <v>54</v>
      </c>
    </row>
    <row r="9">
      <c r="A9" s="10" t="s">
        <v>55</v>
      </c>
      <c r="B9" s="10" t="s">
        <v>56</v>
      </c>
      <c r="C9" s="10" t="s">
        <v>57</v>
      </c>
      <c r="D9" s="10" t="s">
        <v>58</v>
      </c>
    </row>
    <row r="10">
      <c r="A10" s="10" t="s">
        <v>59</v>
      </c>
      <c r="B10" s="10" t="s">
        <v>60</v>
      </c>
      <c r="C10" s="10" t="s">
        <v>61</v>
      </c>
      <c r="D10" s="10" t="s">
        <v>62</v>
      </c>
    </row>
    <row r="11">
      <c r="A11" s="10" t="s">
        <v>63</v>
      </c>
      <c r="B11" s="10" t="s">
        <v>64</v>
      </c>
      <c r="C11" s="10" t="s">
        <v>65</v>
      </c>
      <c r="D11" s="10" t="s">
        <v>66</v>
      </c>
    </row>
    <row r="12">
      <c r="A12" s="12"/>
      <c r="B12" s="12"/>
      <c r="C12" s="12"/>
      <c r="D12" s="12"/>
    </row>
    <row r="13">
      <c r="A13" s="9" t="s">
        <v>67</v>
      </c>
      <c r="B13" s="13"/>
      <c r="C13" s="13"/>
      <c r="D13" s="13"/>
    </row>
    <row r="14">
      <c r="A14" s="12"/>
      <c r="B14" s="10"/>
      <c r="C14" s="12"/>
      <c r="D14" s="12"/>
    </row>
    <row r="15">
      <c r="A15" s="12"/>
      <c r="B15" s="10"/>
      <c r="C15" s="12"/>
      <c r="D15" s="12"/>
    </row>
    <row r="16">
      <c r="A16" s="12"/>
      <c r="B16" s="12"/>
      <c r="C16" s="12"/>
      <c r="D16" s="12"/>
    </row>
    <row r="17">
      <c r="A17" s="12"/>
      <c r="B17" s="12"/>
      <c r="C17" s="12"/>
      <c r="D17" s="12"/>
    </row>
    <row r="18">
      <c r="A18" s="12"/>
      <c r="B18" s="12"/>
      <c r="C18" s="12"/>
      <c r="D18" s="12"/>
    </row>
    <row r="19">
      <c r="A19" s="12"/>
      <c r="B19" s="12"/>
      <c r="C19" s="12"/>
      <c r="D19" s="12"/>
    </row>
    <row r="20">
      <c r="A20" s="12"/>
      <c r="B20" s="12"/>
      <c r="C20" s="12"/>
      <c r="D20" s="12"/>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2.63"/>
    <col customWidth="1" min="3" max="7" width="18.88"/>
    <col customWidth="1" min="8" max="8" width="50.13"/>
  </cols>
  <sheetData>
    <row r="1">
      <c r="A1" s="14"/>
      <c r="B1" s="14"/>
      <c r="C1" s="14" t="s">
        <v>68</v>
      </c>
      <c r="E1" s="14"/>
      <c r="F1" s="15"/>
      <c r="G1" s="15"/>
      <c r="H1" s="14"/>
    </row>
    <row r="2">
      <c r="A2" s="16" t="s">
        <v>69</v>
      </c>
      <c r="B2" s="16" t="s">
        <v>70</v>
      </c>
      <c r="C2" s="16" t="s">
        <v>71</v>
      </c>
      <c r="D2" s="16" t="s">
        <v>72</v>
      </c>
      <c r="E2" s="16" t="s">
        <v>73</v>
      </c>
      <c r="F2" s="17" t="s">
        <v>74</v>
      </c>
      <c r="G2" s="17" t="s">
        <v>75</v>
      </c>
      <c r="H2" s="16" t="s">
        <v>76</v>
      </c>
    </row>
    <row r="3">
      <c r="A3" s="18">
        <v>1.0</v>
      </c>
      <c r="B3" s="19">
        <v>46127.0</v>
      </c>
      <c r="C3" s="10"/>
      <c r="D3" s="10" t="s">
        <v>44</v>
      </c>
      <c r="E3" s="10" t="s">
        <v>77</v>
      </c>
      <c r="F3" s="10" t="s">
        <v>78</v>
      </c>
      <c r="G3" s="10" t="s">
        <v>40</v>
      </c>
      <c r="H3" s="20"/>
    </row>
    <row r="4">
      <c r="A4" s="18">
        <v>2.0</v>
      </c>
      <c r="B4" s="21">
        <f t="shared" ref="B4:B17" si="1">B3+7</f>
        <v>46134</v>
      </c>
      <c r="C4" s="10" t="s">
        <v>44</v>
      </c>
      <c r="D4" s="10" t="s">
        <v>32</v>
      </c>
      <c r="E4" s="10"/>
      <c r="F4" s="10" t="s">
        <v>79</v>
      </c>
      <c r="G4" s="10" t="s">
        <v>40</v>
      </c>
      <c r="H4" s="20"/>
    </row>
    <row r="5">
      <c r="A5" s="18">
        <v>3.0</v>
      </c>
      <c r="B5" s="21">
        <f t="shared" si="1"/>
        <v>46141</v>
      </c>
      <c r="C5" s="10" t="s">
        <v>32</v>
      </c>
      <c r="D5" s="10" t="s">
        <v>44</v>
      </c>
      <c r="E5" s="10"/>
      <c r="F5" s="10" t="s">
        <v>59</v>
      </c>
      <c r="G5" s="10" t="s">
        <v>40</v>
      </c>
      <c r="H5" s="20"/>
    </row>
    <row r="6">
      <c r="A6" s="18">
        <v>4.0</v>
      </c>
      <c r="B6" s="21">
        <f t="shared" si="1"/>
        <v>46148</v>
      </c>
      <c r="C6" s="10" t="s">
        <v>44</v>
      </c>
      <c r="D6" s="10" t="s">
        <v>32</v>
      </c>
      <c r="E6" s="10"/>
      <c r="F6" s="10" t="s">
        <v>28</v>
      </c>
      <c r="G6" s="10" t="s">
        <v>40</v>
      </c>
      <c r="H6" s="20"/>
    </row>
    <row r="7">
      <c r="A7" s="18">
        <v>5.0</v>
      </c>
      <c r="B7" s="21">
        <f t="shared" si="1"/>
        <v>46155</v>
      </c>
      <c r="C7" s="10" t="s">
        <v>32</v>
      </c>
      <c r="D7" s="10" t="s">
        <v>44</v>
      </c>
      <c r="E7" s="10"/>
      <c r="F7" s="10" t="s">
        <v>80</v>
      </c>
      <c r="G7" s="10" t="s">
        <v>40</v>
      </c>
      <c r="H7" s="20"/>
    </row>
    <row r="8">
      <c r="A8" s="18">
        <v>6.0</v>
      </c>
      <c r="B8" s="21">
        <f t="shared" si="1"/>
        <v>46162</v>
      </c>
      <c r="C8" s="10" t="s">
        <v>44</v>
      </c>
      <c r="D8" s="10" t="s">
        <v>32</v>
      </c>
      <c r="E8" s="10"/>
      <c r="F8" s="10" t="s">
        <v>81</v>
      </c>
      <c r="G8" s="10" t="s">
        <v>40</v>
      </c>
      <c r="H8" s="20"/>
    </row>
    <row r="9">
      <c r="A9" s="18">
        <v>7.0</v>
      </c>
      <c r="B9" s="21">
        <f t="shared" si="1"/>
        <v>46169</v>
      </c>
      <c r="C9" s="10" t="s">
        <v>32</v>
      </c>
      <c r="D9" s="10" t="s">
        <v>44</v>
      </c>
      <c r="E9" s="10"/>
      <c r="F9" s="10" t="s">
        <v>82</v>
      </c>
      <c r="G9" s="10" t="s">
        <v>40</v>
      </c>
      <c r="H9" s="22" t="s">
        <v>83</v>
      </c>
    </row>
    <row r="10">
      <c r="A10" s="18">
        <v>8.0</v>
      </c>
      <c r="B10" s="21">
        <f t="shared" si="1"/>
        <v>46176</v>
      </c>
      <c r="C10" s="10" t="s">
        <v>44</v>
      </c>
      <c r="D10" s="10" t="s">
        <v>32</v>
      </c>
      <c r="E10" s="12"/>
      <c r="F10" s="10" t="s">
        <v>56</v>
      </c>
      <c r="G10" s="10" t="s">
        <v>40</v>
      </c>
      <c r="H10" s="20"/>
    </row>
    <row r="11">
      <c r="A11" s="18">
        <v>9.0</v>
      </c>
      <c r="B11" s="21">
        <f t="shared" si="1"/>
        <v>46183</v>
      </c>
      <c r="C11" s="10" t="s">
        <v>32</v>
      </c>
      <c r="D11" s="10" t="s">
        <v>44</v>
      </c>
      <c r="E11" s="12"/>
      <c r="F11" s="10" t="s">
        <v>79</v>
      </c>
      <c r="G11" s="10" t="s">
        <v>40</v>
      </c>
      <c r="H11" s="20"/>
    </row>
    <row r="12">
      <c r="A12" s="18">
        <v>10.0</v>
      </c>
      <c r="B12" s="21">
        <f t="shared" si="1"/>
        <v>46190</v>
      </c>
      <c r="C12" s="10" t="s">
        <v>44</v>
      </c>
      <c r="D12" s="10" t="s">
        <v>32</v>
      </c>
      <c r="E12" s="12"/>
      <c r="F12" s="10" t="s">
        <v>59</v>
      </c>
      <c r="G12" s="10" t="s">
        <v>40</v>
      </c>
      <c r="H12" s="20"/>
    </row>
    <row r="13">
      <c r="A13" s="18">
        <v>11.0</v>
      </c>
      <c r="B13" s="21">
        <f t="shared" si="1"/>
        <v>46197</v>
      </c>
      <c r="C13" s="10" t="s">
        <v>32</v>
      </c>
      <c r="D13" s="10" t="s">
        <v>44</v>
      </c>
      <c r="E13" s="12"/>
      <c r="F13" s="10" t="s">
        <v>28</v>
      </c>
      <c r="G13" s="10" t="s">
        <v>40</v>
      </c>
      <c r="H13" s="20"/>
    </row>
    <row r="14">
      <c r="A14" s="18">
        <v>12.0</v>
      </c>
      <c r="B14" s="21">
        <f t="shared" si="1"/>
        <v>46204</v>
      </c>
      <c r="C14" s="10" t="s">
        <v>44</v>
      </c>
      <c r="D14" s="10" t="s">
        <v>32</v>
      </c>
      <c r="E14" s="12"/>
      <c r="F14" s="10" t="s">
        <v>80</v>
      </c>
      <c r="G14" s="10" t="s">
        <v>40</v>
      </c>
      <c r="H14" s="20"/>
    </row>
    <row r="15">
      <c r="A15" s="18">
        <v>13.0</v>
      </c>
      <c r="B15" s="21">
        <f t="shared" si="1"/>
        <v>46211</v>
      </c>
      <c r="C15" s="10" t="s">
        <v>32</v>
      </c>
      <c r="D15" s="10" t="s">
        <v>44</v>
      </c>
      <c r="E15" s="12"/>
      <c r="F15" s="10" t="s">
        <v>82</v>
      </c>
      <c r="G15" s="10" t="s">
        <v>40</v>
      </c>
      <c r="H15" s="20"/>
    </row>
    <row r="16">
      <c r="A16" s="18">
        <v>14.0</v>
      </c>
      <c r="B16" s="21">
        <f t="shared" si="1"/>
        <v>46218</v>
      </c>
      <c r="C16" s="10" t="s">
        <v>44</v>
      </c>
      <c r="D16" s="10" t="s">
        <v>32</v>
      </c>
      <c r="E16" s="12"/>
      <c r="F16" s="10" t="s">
        <v>81</v>
      </c>
      <c r="G16" s="10" t="s">
        <v>40</v>
      </c>
      <c r="H16" s="22" t="s">
        <v>84</v>
      </c>
    </row>
    <row r="17">
      <c r="A17" s="18">
        <v>15.0</v>
      </c>
      <c r="B17" s="21">
        <f t="shared" si="1"/>
        <v>46225</v>
      </c>
      <c r="C17" s="10" t="s">
        <v>32</v>
      </c>
      <c r="D17" s="10" t="s">
        <v>44</v>
      </c>
      <c r="E17" s="12"/>
      <c r="F17" s="10" t="s">
        <v>56</v>
      </c>
      <c r="G17" s="10" t="s">
        <v>40</v>
      </c>
      <c r="H17" s="22" t="s">
        <v>85</v>
      </c>
    </row>
    <row r="18">
      <c r="A18" s="18"/>
      <c r="B18" s="23"/>
      <c r="C18" s="12"/>
      <c r="D18" s="12"/>
      <c r="E18" s="12"/>
      <c r="F18" s="12"/>
      <c r="G18" s="12"/>
      <c r="H18" s="24"/>
    </row>
    <row r="19">
      <c r="A19" s="22" t="s">
        <v>86</v>
      </c>
      <c r="B19" s="25"/>
      <c r="C19" s="26"/>
      <c r="D19" s="26"/>
      <c r="E19" s="26"/>
      <c r="F19" s="26"/>
      <c r="G19" s="26"/>
      <c r="H19" s="24"/>
    </row>
    <row r="20">
      <c r="A20" s="26"/>
      <c r="B20" s="23"/>
      <c r="C20" s="12"/>
      <c r="D20" s="12"/>
      <c r="E20" s="12"/>
      <c r="F20" s="12"/>
      <c r="G20" s="12"/>
      <c r="H20" s="24"/>
    </row>
    <row r="21">
      <c r="A21" s="18"/>
      <c r="B21" s="23"/>
      <c r="C21" s="12"/>
      <c r="D21" s="12"/>
      <c r="E21" s="12"/>
      <c r="F21" s="12"/>
      <c r="G21" s="12"/>
      <c r="H21" s="24"/>
    </row>
  </sheetData>
  <mergeCells count="1">
    <mergeCell ref="C1:D1"/>
  </mergeCells>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100.13"/>
  </cols>
  <sheetData>
    <row r="1">
      <c r="A1" s="27" t="s">
        <v>87</v>
      </c>
      <c r="B1" s="28" t="s">
        <v>88</v>
      </c>
    </row>
    <row r="2">
      <c r="A2" s="29"/>
      <c r="B2" s="30"/>
    </row>
    <row r="3">
      <c r="A3" s="31" t="s">
        <v>89</v>
      </c>
      <c r="B3" s="28" t="s">
        <v>90</v>
      </c>
    </row>
    <row r="4">
      <c r="A4" s="29"/>
      <c r="B4" s="32" t="s">
        <v>91</v>
      </c>
    </row>
    <row r="5">
      <c r="A5" s="31" t="s">
        <v>92</v>
      </c>
      <c r="B5" s="28" t="s">
        <v>93</v>
      </c>
    </row>
    <row r="6">
      <c r="A6" s="29"/>
      <c r="B6" s="30"/>
    </row>
    <row r="7">
      <c r="A7" s="31" t="s">
        <v>94</v>
      </c>
      <c r="B7" s="28" t="s">
        <v>95</v>
      </c>
    </row>
    <row r="8">
      <c r="A8" s="29"/>
      <c r="B8" s="30"/>
    </row>
    <row r="9">
      <c r="A9" s="31" t="s">
        <v>96</v>
      </c>
      <c r="B9" s="28" t="s">
        <v>97</v>
      </c>
    </row>
    <row r="10">
      <c r="A10" s="29"/>
      <c r="B10" s="30"/>
    </row>
    <row r="11">
      <c r="A11" s="31" t="s">
        <v>98</v>
      </c>
      <c r="B11" s="28" t="s">
        <v>99</v>
      </c>
    </row>
    <row r="12">
      <c r="A12" s="30"/>
      <c r="B12" s="30"/>
    </row>
    <row r="13">
      <c r="A13" s="31" t="s">
        <v>100</v>
      </c>
      <c r="B13" s="28" t="s">
        <v>101</v>
      </c>
    </row>
    <row r="14">
      <c r="A14" s="30"/>
      <c r="B14" s="30"/>
    </row>
    <row r="15">
      <c r="A15" s="33" t="s">
        <v>102</v>
      </c>
      <c r="B15" s="28" t="s">
        <v>103</v>
      </c>
    </row>
    <row r="16">
      <c r="A16" s="30"/>
      <c r="B16" s="30"/>
    </row>
    <row r="17">
      <c r="A17" s="33" t="s">
        <v>104</v>
      </c>
      <c r="B17" s="28" t="s">
        <v>105</v>
      </c>
    </row>
    <row r="18">
      <c r="A18" s="30"/>
      <c r="B18" s="30"/>
    </row>
    <row r="19">
      <c r="A19" s="31" t="s">
        <v>106</v>
      </c>
      <c r="B19" s="33"/>
    </row>
    <row r="21">
      <c r="A21" s="34" t="s">
        <v>75</v>
      </c>
      <c r="B21" s="35" t="s">
        <v>107</v>
      </c>
    </row>
    <row r="22">
      <c r="A22" s="34" t="s">
        <v>108</v>
      </c>
      <c r="B22" s="35" t="s">
        <v>109</v>
      </c>
    </row>
    <row r="23">
      <c r="A23" s="34" t="s">
        <v>108</v>
      </c>
      <c r="B23" s="35" t="s">
        <v>110</v>
      </c>
    </row>
    <row r="24">
      <c r="A24" s="34" t="s">
        <v>111</v>
      </c>
      <c r="B24" s="35" t="s">
        <v>79</v>
      </c>
    </row>
    <row r="25">
      <c r="A25" s="34" t="s">
        <v>111</v>
      </c>
      <c r="B25" s="35" t="s">
        <v>112</v>
      </c>
    </row>
    <row r="26">
      <c r="A26" s="34" t="s">
        <v>111</v>
      </c>
      <c r="B26" s="35" t="s">
        <v>82</v>
      </c>
    </row>
    <row r="27">
      <c r="A27" s="34" t="s">
        <v>111</v>
      </c>
      <c r="B27" s="35" t="s">
        <v>80</v>
      </c>
    </row>
    <row r="28">
      <c r="A28" s="34" t="s">
        <v>111</v>
      </c>
      <c r="B28" s="35" t="s">
        <v>81</v>
      </c>
    </row>
    <row r="29">
      <c r="A29" s="34" t="s">
        <v>111</v>
      </c>
      <c r="B29" s="35" t="s">
        <v>113</v>
      </c>
    </row>
    <row r="30">
      <c r="A30" s="35" t="s">
        <v>111</v>
      </c>
      <c r="B30" s="35" t="s">
        <v>114</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36" t="s">
        <v>115</v>
      </c>
      <c r="B1" s="36" t="s">
        <v>116</v>
      </c>
    </row>
    <row r="2">
      <c r="A2" s="37"/>
      <c r="B2" s="38"/>
    </row>
    <row r="3">
      <c r="A3" s="39" t="s">
        <v>117</v>
      </c>
      <c r="B3" s="39" t="s">
        <v>118</v>
      </c>
    </row>
  </sheetData>
  <mergeCells count="2">
    <mergeCell ref="A3:A20"/>
    <mergeCell ref="B3:B2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2.88"/>
  </cols>
  <sheetData>
    <row r="1">
      <c r="A1" s="40" t="s">
        <v>119</v>
      </c>
      <c r="B1" s="40" t="s">
        <v>120</v>
      </c>
    </row>
    <row r="2">
      <c r="A2" s="41" t="s">
        <v>121</v>
      </c>
      <c r="B2" s="2" t="s">
        <v>122</v>
      </c>
    </row>
    <row r="3">
      <c r="A3" s="35" t="s">
        <v>123</v>
      </c>
      <c r="B3" s="35" t="s">
        <v>124</v>
      </c>
    </row>
    <row r="4">
      <c r="A4" s="2" t="s">
        <v>125</v>
      </c>
      <c r="B4" s="2" t="s">
        <v>126</v>
      </c>
    </row>
    <row r="5">
      <c r="A5" s="2" t="s">
        <v>127</v>
      </c>
      <c r="B5" s="2" t="s">
        <v>128</v>
      </c>
    </row>
    <row r="6">
      <c r="A6" s="2" t="s">
        <v>129</v>
      </c>
      <c r="B6" s="35" t="s">
        <v>130</v>
      </c>
    </row>
    <row r="7">
      <c r="A7" s="2" t="s">
        <v>131</v>
      </c>
      <c r="B7" s="35" t="s">
        <v>132</v>
      </c>
    </row>
    <row r="8">
      <c r="A8" s="35" t="s">
        <v>133</v>
      </c>
      <c r="B8" s="35" t="s">
        <v>134</v>
      </c>
    </row>
    <row r="9">
      <c r="A9" s="2" t="s">
        <v>135</v>
      </c>
      <c r="B9" s="2" t="s">
        <v>136</v>
      </c>
    </row>
    <row r="10">
      <c r="A10" s="2" t="s">
        <v>137</v>
      </c>
      <c r="B10" s="2" t="s">
        <v>138</v>
      </c>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2" t="s">
        <v>139</v>
      </c>
      <c r="B1" s="4" t="s">
        <v>140</v>
      </c>
    </row>
    <row r="2">
      <c r="A2" s="43">
        <v>1.0</v>
      </c>
      <c r="B2" s="2" t="s">
        <v>141</v>
      </c>
    </row>
    <row r="3">
      <c r="A3" s="43">
        <f t="shared" ref="A3:A16" si="1">A2+1</f>
        <v>2</v>
      </c>
      <c r="B3" s="2" t="s">
        <v>141</v>
      </c>
    </row>
    <row r="4">
      <c r="A4" s="43">
        <f t="shared" si="1"/>
        <v>3</v>
      </c>
      <c r="B4" s="2" t="s">
        <v>141</v>
      </c>
    </row>
    <row r="5">
      <c r="A5" s="43">
        <f t="shared" si="1"/>
        <v>4</v>
      </c>
      <c r="B5" s="2" t="s">
        <v>142</v>
      </c>
    </row>
    <row r="6">
      <c r="A6" s="43">
        <f t="shared" si="1"/>
        <v>5</v>
      </c>
      <c r="B6" s="35" t="s">
        <v>143</v>
      </c>
    </row>
    <row r="7">
      <c r="A7" s="43">
        <f t="shared" si="1"/>
        <v>6</v>
      </c>
      <c r="B7" s="2" t="s">
        <v>144</v>
      </c>
    </row>
    <row r="8">
      <c r="A8" s="43">
        <f t="shared" si="1"/>
        <v>7</v>
      </c>
      <c r="B8" s="3"/>
    </row>
    <row r="9">
      <c r="A9" s="43">
        <f t="shared" si="1"/>
        <v>8</v>
      </c>
      <c r="B9" s="3"/>
    </row>
    <row r="10">
      <c r="A10" s="43">
        <f t="shared" si="1"/>
        <v>9</v>
      </c>
      <c r="B10" s="3"/>
    </row>
    <row r="11">
      <c r="A11" s="43">
        <f t="shared" si="1"/>
        <v>10</v>
      </c>
      <c r="B11" s="3"/>
    </row>
    <row r="12">
      <c r="A12" s="43">
        <f t="shared" si="1"/>
        <v>11</v>
      </c>
      <c r="B12" s="3"/>
    </row>
    <row r="13">
      <c r="A13" s="43">
        <f t="shared" si="1"/>
        <v>12</v>
      </c>
      <c r="B13" s="3"/>
    </row>
    <row r="14">
      <c r="A14" s="43">
        <f t="shared" si="1"/>
        <v>13</v>
      </c>
      <c r="B14" s="3"/>
    </row>
    <row r="15">
      <c r="A15" s="43">
        <f t="shared" si="1"/>
        <v>14</v>
      </c>
      <c r="B15" s="3"/>
    </row>
    <row r="16">
      <c r="A16" s="43">
        <f t="shared" si="1"/>
        <v>15</v>
      </c>
      <c r="B16" s="3"/>
    </row>
    <row r="17">
      <c r="A17" s="43"/>
      <c r="B17" s="3"/>
    </row>
    <row r="18">
      <c r="A18" s="43"/>
      <c r="B18" s="3"/>
    </row>
    <row r="19">
      <c r="A19" s="44"/>
      <c r="B19" s="3"/>
    </row>
    <row r="20">
      <c r="A20" s="44"/>
      <c r="B20" s="3"/>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34.88"/>
    <col customWidth="1" min="3" max="3" width="62.63"/>
    <col customWidth="1" min="4" max="7" width="15.75"/>
  </cols>
  <sheetData>
    <row r="1">
      <c r="A1" s="45" t="s">
        <v>145</v>
      </c>
      <c r="B1" s="46" t="s">
        <v>146</v>
      </c>
      <c r="C1" s="47" t="s">
        <v>147</v>
      </c>
      <c r="D1" s="48" t="s">
        <v>148</v>
      </c>
      <c r="E1" s="48" t="s">
        <v>149</v>
      </c>
      <c r="F1" s="48" t="s">
        <v>150</v>
      </c>
      <c r="G1" s="48" t="s">
        <v>151</v>
      </c>
    </row>
    <row r="2">
      <c r="A2" s="49"/>
      <c r="B2" s="50"/>
      <c r="C2" s="51"/>
      <c r="D2" s="51"/>
      <c r="E2" s="51"/>
      <c r="F2" s="51"/>
      <c r="G2" s="51"/>
    </row>
    <row r="3">
      <c r="A3" s="52" t="s">
        <v>152</v>
      </c>
      <c r="B3" s="53"/>
      <c r="C3" s="54"/>
      <c r="D3" s="54"/>
      <c r="E3" s="54"/>
      <c r="F3" s="54"/>
      <c r="G3" s="54"/>
    </row>
    <row r="4">
      <c r="A4" s="49"/>
      <c r="B4" s="50"/>
      <c r="C4" s="51"/>
      <c r="D4" s="51"/>
      <c r="E4" s="51"/>
      <c r="F4" s="51"/>
      <c r="G4" s="51"/>
    </row>
    <row r="5">
      <c r="A5" s="55" t="s">
        <v>153</v>
      </c>
      <c r="B5" s="56"/>
      <c r="C5" s="30"/>
      <c r="D5" s="57">
        <f>SUM(D8:D14)</f>
        <v>95</v>
      </c>
      <c r="E5" s="57">
        <f>D5</f>
        <v>95</v>
      </c>
      <c r="F5" s="30"/>
      <c r="G5" s="30"/>
    </row>
    <row r="6">
      <c r="A6" s="49"/>
      <c r="B6" s="50"/>
      <c r="C6" s="51"/>
      <c r="D6" s="51"/>
      <c r="E6" s="51"/>
      <c r="F6" s="51"/>
      <c r="G6" s="51"/>
    </row>
    <row r="7">
      <c r="A7" s="58" t="s">
        <v>154</v>
      </c>
      <c r="B7" s="59"/>
      <c r="C7" s="60"/>
      <c r="D7" s="60"/>
      <c r="E7" s="60"/>
      <c r="F7" s="60"/>
      <c r="G7" s="60"/>
    </row>
    <row r="8">
      <c r="A8" s="61" t="s">
        <v>154</v>
      </c>
      <c r="B8" s="50"/>
      <c r="C8" s="51"/>
      <c r="D8" s="51"/>
      <c r="E8" s="62" t="s">
        <v>149</v>
      </c>
      <c r="F8" s="51"/>
      <c r="G8" s="62" t="s">
        <v>151</v>
      </c>
    </row>
    <row r="9">
      <c r="A9" s="63">
        <v>1.0</v>
      </c>
      <c r="B9" s="55"/>
      <c r="C9" s="30"/>
      <c r="D9" s="57">
        <f>SUM(D18:D22)</f>
        <v>1</v>
      </c>
      <c r="E9" s="57">
        <f>$D$5</f>
        <v>95</v>
      </c>
      <c r="F9" s="57">
        <f>SUM(F18)</f>
        <v>1</v>
      </c>
      <c r="G9" s="57">
        <f>$D$5</f>
        <v>95</v>
      </c>
    </row>
    <row r="10">
      <c r="A10" s="49">
        <f t="shared" ref="A10:A11" si="1">A9+1</f>
        <v>2</v>
      </c>
      <c r="B10" s="50"/>
      <c r="C10" s="51"/>
      <c r="D10" s="64">
        <f>SUM(D24:D27)</f>
        <v>16</v>
      </c>
      <c r="E10" s="64">
        <f t="shared" ref="E10:E14" si="2">E9-D9</f>
        <v>94</v>
      </c>
      <c r="F10" s="64">
        <f>SUM(F24:F27)</f>
        <v>12</v>
      </c>
      <c r="G10" s="64">
        <f t="shared" ref="G10:G14" si="3">G9-F9</f>
        <v>94</v>
      </c>
    </row>
    <row r="11">
      <c r="A11" s="63">
        <f t="shared" si="1"/>
        <v>3</v>
      </c>
      <c r="B11" s="55"/>
      <c r="C11" s="30"/>
      <c r="D11" s="57">
        <f>sum(D30:D35)</f>
        <v>19</v>
      </c>
      <c r="E11" s="57">
        <f t="shared" si="2"/>
        <v>78</v>
      </c>
      <c r="F11" s="57">
        <f>SUM(F30:F34)</f>
        <v>18</v>
      </c>
      <c r="G11" s="57">
        <f t="shared" si="3"/>
        <v>82</v>
      </c>
    </row>
    <row r="12">
      <c r="A12" s="65">
        <v>4.0</v>
      </c>
      <c r="B12" s="66"/>
      <c r="C12" s="51"/>
      <c r="D12" s="28">
        <f>SUM(D36:D41)</f>
        <v>30</v>
      </c>
      <c r="E12" s="64">
        <f t="shared" si="2"/>
        <v>59</v>
      </c>
      <c r="F12" s="51">
        <f>SUM(F36:F41)</f>
        <v>36</v>
      </c>
      <c r="G12" s="64">
        <f t="shared" si="3"/>
        <v>64</v>
      </c>
    </row>
    <row r="13">
      <c r="A13" s="67">
        <v>5.0</v>
      </c>
      <c r="B13" s="55"/>
      <c r="C13" s="30"/>
      <c r="D13" s="30">
        <f>SUM(D43:D49)</f>
        <v>29</v>
      </c>
      <c r="E13" s="30">
        <f t="shared" si="2"/>
        <v>29</v>
      </c>
      <c r="F13" s="30">
        <f>SUM(F43:F49)</f>
        <v>0</v>
      </c>
      <c r="G13" s="30">
        <f t="shared" si="3"/>
        <v>28</v>
      </c>
    </row>
    <row r="14">
      <c r="A14" s="68">
        <v>6.0</v>
      </c>
      <c r="D14">
        <f>SUM(D51:D59)</f>
        <v>0</v>
      </c>
      <c r="E14" s="64">
        <f t="shared" si="2"/>
        <v>0</v>
      </c>
      <c r="F14">
        <f>SUM(F51:F59)</f>
        <v>0</v>
      </c>
      <c r="G14" s="64">
        <f t="shared" si="3"/>
        <v>28</v>
      </c>
    </row>
    <row r="15">
      <c r="A15" s="68"/>
      <c r="B15" s="55"/>
      <c r="C15" s="55"/>
      <c r="D15" s="55"/>
      <c r="E15" s="55"/>
      <c r="F15" s="55"/>
      <c r="G15" s="55"/>
    </row>
    <row r="16">
      <c r="A16" s="69" t="s">
        <v>155</v>
      </c>
      <c r="B16" s="70"/>
      <c r="C16" s="71"/>
      <c r="D16" s="71"/>
      <c r="E16" s="71"/>
      <c r="F16" s="71"/>
      <c r="G16" s="71"/>
    </row>
    <row r="17">
      <c r="A17" s="63"/>
      <c r="B17" s="55"/>
      <c r="C17" s="30"/>
      <c r="D17" s="30"/>
      <c r="E17" s="30"/>
      <c r="F17" s="30"/>
      <c r="G17" s="30"/>
    </row>
    <row r="18">
      <c r="A18" s="72">
        <f>A9</f>
        <v>1</v>
      </c>
      <c r="B18" s="73" t="s">
        <v>141</v>
      </c>
      <c r="C18" s="28" t="s">
        <v>156</v>
      </c>
      <c r="D18" s="28">
        <v>1.0</v>
      </c>
      <c r="E18" s="28"/>
      <c r="F18" s="28">
        <v>1.0</v>
      </c>
      <c r="G18" s="51"/>
    </row>
    <row r="19">
      <c r="A19" s="63"/>
      <c r="B19" s="74"/>
      <c r="C19" s="30"/>
      <c r="D19" s="30"/>
      <c r="E19" s="30"/>
      <c r="F19" s="30"/>
      <c r="G19" s="30"/>
    </row>
    <row r="20">
      <c r="A20" s="49"/>
      <c r="B20" s="50"/>
      <c r="C20" s="66"/>
      <c r="D20" s="75"/>
      <c r="E20" s="50"/>
      <c r="F20" s="75"/>
      <c r="G20" s="50"/>
    </row>
    <row r="21">
      <c r="A21" s="63"/>
      <c r="B21" s="74"/>
      <c r="C21" s="30"/>
      <c r="D21" s="57"/>
      <c r="E21" s="30"/>
      <c r="F21" s="30"/>
      <c r="G21" s="30"/>
    </row>
    <row r="22">
      <c r="A22" s="76"/>
      <c r="B22" s="66"/>
      <c r="C22" s="66"/>
      <c r="D22" s="64"/>
      <c r="E22" s="66"/>
      <c r="F22" s="66"/>
      <c r="G22" s="66"/>
    </row>
    <row r="23">
      <c r="A23" s="63"/>
      <c r="B23" s="74"/>
      <c r="C23" s="30"/>
      <c r="D23" s="57"/>
      <c r="E23" s="30"/>
      <c r="F23" s="30"/>
      <c r="G23" s="30"/>
    </row>
    <row r="24">
      <c r="A24" s="72">
        <f>A10</f>
        <v>2</v>
      </c>
      <c r="B24" s="73" t="s">
        <v>141</v>
      </c>
      <c r="C24" s="28" t="s">
        <v>157</v>
      </c>
      <c r="D24" s="64">
        <v>3.0</v>
      </c>
      <c r="E24" s="66"/>
      <c r="F24" s="66">
        <v>2.0</v>
      </c>
      <c r="G24" s="51"/>
    </row>
    <row r="25">
      <c r="A25" s="63"/>
      <c r="B25" s="74"/>
      <c r="C25" s="30" t="s">
        <v>158</v>
      </c>
      <c r="D25" s="57">
        <v>5.0</v>
      </c>
      <c r="E25" s="30"/>
      <c r="F25" s="30">
        <v>5.0</v>
      </c>
      <c r="G25" s="30"/>
    </row>
    <row r="26">
      <c r="A26" s="76"/>
      <c r="B26" s="66"/>
      <c r="C26" s="77" t="s">
        <v>159</v>
      </c>
      <c r="D26" s="64">
        <v>5.0</v>
      </c>
      <c r="E26" s="66"/>
      <c r="F26" s="66">
        <v>5.0</v>
      </c>
      <c r="G26" s="66"/>
    </row>
    <row r="27">
      <c r="A27" s="63"/>
      <c r="B27" s="74"/>
      <c r="C27" s="30" t="s">
        <v>160</v>
      </c>
      <c r="D27" s="57">
        <v>3.0</v>
      </c>
      <c r="E27" s="30"/>
      <c r="F27" s="78" t="s">
        <v>161</v>
      </c>
      <c r="G27" s="30"/>
    </row>
    <row r="28">
      <c r="A28" s="76"/>
      <c r="B28" s="66"/>
      <c r="C28" s="66"/>
      <c r="D28" s="64"/>
      <c r="E28" s="66"/>
      <c r="F28" s="66"/>
      <c r="G28" s="66"/>
    </row>
    <row r="29">
      <c r="A29" s="63"/>
      <c r="B29" s="74"/>
      <c r="C29" s="30"/>
      <c r="D29" s="57"/>
      <c r="E29" s="30"/>
      <c r="F29" s="30"/>
      <c r="G29" s="30"/>
    </row>
    <row r="30">
      <c r="A30" s="72">
        <f>A11</f>
        <v>3</v>
      </c>
      <c r="B30" s="73" t="s">
        <v>141</v>
      </c>
      <c r="C30" s="66" t="s">
        <v>160</v>
      </c>
      <c r="D30" s="64">
        <v>3.0</v>
      </c>
      <c r="E30" s="66"/>
      <c r="F30" s="66">
        <v>3.0</v>
      </c>
      <c r="G30" s="51"/>
    </row>
    <row r="31">
      <c r="A31" s="63"/>
      <c r="B31" s="79"/>
      <c r="C31" s="30" t="s">
        <v>162</v>
      </c>
      <c r="D31" s="57">
        <v>5.0</v>
      </c>
      <c r="E31" s="30"/>
      <c r="F31" s="30">
        <v>5.0</v>
      </c>
      <c r="G31" s="30"/>
    </row>
    <row r="32">
      <c r="A32" s="76"/>
      <c r="B32" s="80"/>
      <c r="C32" s="66" t="s">
        <v>163</v>
      </c>
      <c r="D32" s="64">
        <v>3.0</v>
      </c>
      <c r="E32" s="66"/>
      <c r="F32" s="66">
        <v>3.0</v>
      </c>
      <c r="G32" s="66"/>
    </row>
    <row r="33">
      <c r="A33" s="63"/>
      <c r="B33" s="79"/>
      <c r="C33" s="30" t="s">
        <v>164</v>
      </c>
      <c r="D33" s="57">
        <v>3.0</v>
      </c>
      <c r="E33" s="30"/>
      <c r="F33" s="30">
        <v>2.0</v>
      </c>
      <c r="G33" s="30"/>
    </row>
    <row r="34">
      <c r="A34" s="76"/>
      <c r="B34" s="80"/>
      <c r="C34" s="66" t="s">
        <v>165</v>
      </c>
      <c r="D34" s="64">
        <v>5.0</v>
      </c>
      <c r="E34" s="66"/>
      <c r="F34" s="66">
        <v>5.0</v>
      </c>
      <c r="G34" s="66"/>
    </row>
    <row r="35">
      <c r="A35" s="63"/>
      <c r="B35" s="79"/>
      <c r="C35" s="30"/>
      <c r="D35" s="57"/>
      <c r="E35" s="30"/>
      <c r="F35" s="30"/>
      <c r="G35" s="30"/>
    </row>
    <row r="36">
      <c r="A36" s="65">
        <v>4.0</v>
      </c>
      <c r="B36" s="73" t="str">
        <f>'Sprint Goals'!B5</f>
        <v>Optional</v>
      </c>
      <c r="C36" s="66" t="s">
        <v>166</v>
      </c>
      <c r="D36" s="64">
        <v>5.0</v>
      </c>
      <c r="E36" s="66"/>
      <c r="F36" s="77">
        <v>8.0</v>
      </c>
      <c r="G36" s="66"/>
    </row>
    <row r="37">
      <c r="A37" s="63"/>
      <c r="B37" s="79"/>
      <c r="C37" s="30" t="s">
        <v>167</v>
      </c>
      <c r="D37" s="57">
        <v>5.0</v>
      </c>
      <c r="E37" s="30"/>
      <c r="F37" s="32">
        <v>5.0</v>
      </c>
      <c r="G37" s="30"/>
    </row>
    <row r="38">
      <c r="A38" s="76"/>
      <c r="B38" s="80"/>
      <c r="C38" s="66" t="s">
        <v>168</v>
      </c>
      <c r="D38" s="64">
        <v>5.0</v>
      </c>
      <c r="E38" s="66"/>
      <c r="F38" s="77">
        <v>5.0</v>
      </c>
      <c r="G38" s="66"/>
    </row>
    <row r="39">
      <c r="A39" s="63"/>
      <c r="B39" s="79"/>
      <c r="C39" s="30" t="s">
        <v>169</v>
      </c>
      <c r="D39" s="57">
        <v>5.0</v>
      </c>
      <c r="E39" s="30"/>
      <c r="F39" s="32">
        <v>5.0</v>
      </c>
      <c r="G39" s="30"/>
    </row>
    <row r="40">
      <c r="A40" s="76"/>
      <c r="B40" s="80"/>
      <c r="C40" s="66" t="s">
        <v>170</v>
      </c>
      <c r="D40" s="64">
        <v>5.0</v>
      </c>
      <c r="E40" s="66"/>
      <c r="F40" s="77">
        <v>5.0</v>
      </c>
      <c r="G40" s="66"/>
    </row>
    <row r="41">
      <c r="A41" s="63"/>
      <c r="B41" s="79"/>
      <c r="C41" s="30" t="s">
        <v>171</v>
      </c>
      <c r="D41" s="57">
        <v>5.0</v>
      </c>
      <c r="E41" s="30"/>
      <c r="F41" s="32">
        <v>8.0</v>
      </c>
      <c r="G41" s="30"/>
    </row>
    <row r="42">
      <c r="A42" s="66"/>
      <c r="B42" s="66"/>
      <c r="C42" s="66"/>
      <c r="D42" s="64"/>
      <c r="E42" s="66"/>
      <c r="F42" s="66"/>
      <c r="G42" s="66"/>
    </row>
    <row r="43">
      <c r="A43" s="63">
        <v>5.0</v>
      </c>
      <c r="B43" s="81" t="str">
        <f>'Sprint Goals'!B6</f>
        <v>Persistent Single-Prompt Agent Prototype</v>
      </c>
      <c r="C43" s="32" t="s">
        <v>172</v>
      </c>
      <c r="D43" s="82">
        <v>2.0</v>
      </c>
      <c r="E43" s="30"/>
      <c r="F43" s="32"/>
      <c r="G43" s="30"/>
    </row>
    <row r="44">
      <c r="A44" s="76"/>
      <c r="B44" s="80"/>
      <c r="C44" s="77" t="s">
        <v>173</v>
      </c>
      <c r="D44" s="83">
        <v>5.0</v>
      </c>
      <c r="E44" s="66"/>
      <c r="F44" s="77"/>
      <c r="G44" s="66"/>
    </row>
    <row r="45">
      <c r="A45" s="63"/>
      <c r="B45" s="79"/>
      <c r="C45" s="32" t="s">
        <v>174</v>
      </c>
      <c r="D45" s="82">
        <v>3.0</v>
      </c>
      <c r="E45" s="30"/>
      <c r="F45" s="32"/>
      <c r="G45" s="30"/>
    </row>
    <row r="46">
      <c r="A46" s="76"/>
      <c r="B46" s="80"/>
      <c r="C46" s="77" t="s">
        <v>175</v>
      </c>
      <c r="D46" s="83">
        <v>3.0</v>
      </c>
      <c r="E46" s="66"/>
      <c r="F46" s="77"/>
      <c r="G46" s="66"/>
    </row>
    <row r="47">
      <c r="A47" s="63"/>
      <c r="B47" s="79"/>
      <c r="C47" s="32" t="s">
        <v>176</v>
      </c>
      <c r="D47" s="82">
        <v>3.0</v>
      </c>
      <c r="E47" s="30"/>
      <c r="F47" s="32"/>
      <c r="G47" s="30"/>
    </row>
    <row r="48">
      <c r="A48" s="76"/>
      <c r="B48" s="80"/>
      <c r="C48" s="77" t="s">
        <v>177</v>
      </c>
      <c r="D48" s="83">
        <v>8.0</v>
      </c>
      <c r="E48" s="66"/>
      <c r="F48" s="77"/>
      <c r="G48" s="66"/>
    </row>
    <row r="49">
      <c r="A49" s="84"/>
      <c r="B49" s="79"/>
      <c r="C49" s="32" t="s">
        <v>178</v>
      </c>
      <c r="D49" s="82">
        <v>5.0</v>
      </c>
      <c r="E49" s="30"/>
      <c r="F49" s="32"/>
      <c r="G49" s="30"/>
    </row>
    <row r="50">
      <c r="A50" s="76"/>
      <c r="B50" s="80"/>
      <c r="C50" s="66"/>
      <c r="D50" s="64"/>
      <c r="E50" s="66"/>
      <c r="F50" s="66"/>
      <c r="G50" s="66"/>
    </row>
    <row r="51">
      <c r="A51" s="67">
        <v>6.0</v>
      </c>
      <c r="B51" s="79" t="str">
        <f>'Sprint Goals'!B7</f>
        <v>Cloud Deployment/Migration and System Robustness </v>
      </c>
      <c r="C51" s="30"/>
      <c r="D51" s="82"/>
      <c r="E51" s="30"/>
      <c r="F51" s="32"/>
      <c r="G51" s="30"/>
    </row>
    <row r="52">
      <c r="A52" s="76"/>
      <c r="B52" s="80"/>
      <c r="C52" s="66"/>
      <c r="D52" s="64"/>
      <c r="E52" s="66"/>
      <c r="F52" s="66"/>
      <c r="G52" s="66"/>
    </row>
    <row r="53">
      <c r="A53" s="63"/>
      <c r="B53" s="79"/>
      <c r="C53" s="30"/>
      <c r="D53" s="57"/>
      <c r="E53" s="30"/>
      <c r="F53" s="30"/>
      <c r="G53" s="30"/>
    </row>
    <row r="54">
      <c r="A54" s="76"/>
      <c r="B54" s="80"/>
      <c r="C54" s="66"/>
      <c r="D54" s="64"/>
      <c r="E54" s="66"/>
      <c r="F54" s="66"/>
      <c r="G54" s="66"/>
    </row>
    <row r="55">
      <c r="A55" s="63"/>
      <c r="B55" s="79"/>
      <c r="C55" s="30"/>
      <c r="D55" s="57"/>
      <c r="E55" s="30"/>
      <c r="F55" s="30"/>
      <c r="G55" s="30"/>
    </row>
    <row r="56">
      <c r="A56" s="76"/>
      <c r="B56" s="80"/>
      <c r="C56" s="66"/>
      <c r="D56" s="64"/>
      <c r="E56" s="66"/>
      <c r="F56" s="66"/>
      <c r="G56" s="66"/>
    </row>
    <row r="57">
      <c r="A57" s="63"/>
      <c r="B57" s="79"/>
      <c r="C57" s="30"/>
      <c r="D57" s="57"/>
      <c r="E57" s="30"/>
      <c r="F57" s="30"/>
      <c r="G57" s="30"/>
    </row>
    <row r="58">
      <c r="A58" s="76"/>
      <c r="B58" s="80"/>
      <c r="C58" s="66"/>
      <c r="D58" s="64"/>
      <c r="E58" s="66"/>
      <c r="F58" s="66"/>
      <c r="G58" s="66"/>
    </row>
    <row r="59">
      <c r="A59" s="63"/>
      <c r="B59" s="79"/>
      <c r="C59" s="30"/>
      <c r="D59" s="57"/>
      <c r="E59" s="30"/>
      <c r="F59" s="30"/>
      <c r="G59" s="30"/>
    </row>
    <row r="60">
      <c r="A60" s="76"/>
      <c r="B60" s="80"/>
      <c r="C60" s="66"/>
      <c r="D60" s="64"/>
      <c r="E60" s="66"/>
      <c r="F60" s="66"/>
      <c r="G60" s="66"/>
    </row>
    <row r="61">
      <c r="A61" s="63"/>
      <c r="B61" s="79"/>
      <c r="C61" s="30"/>
      <c r="D61" s="57"/>
      <c r="E61" s="30"/>
      <c r="F61" s="30"/>
      <c r="G61" s="30"/>
    </row>
    <row r="62">
      <c r="A62" s="76"/>
      <c r="B62" s="80"/>
      <c r="C62" s="66"/>
      <c r="D62" s="64"/>
      <c r="E62" s="66"/>
      <c r="F62" s="66"/>
      <c r="G62" s="66"/>
    </row>
    <row r="63">
      <c r="A63" s="63"/>
      <c r="B63" s="79"/>
      <c r="C63" s="30"/>
      <c r="D63" s="57"/>
      <c r="E63" s="30"/>
      <c r="F63" s="30"/>
      <c r="G63" s="30"/>
    </row>
    <row r="64">
      <c r="A64" s="76"/>
      <c r="B64" s="80"/>
      <c r="C64" s="66"/>
      <c r="D64" s="64"/>
      <c r="E64" s="66"/>
      <c r="F64" s="66"/>
      <c r="G64" s="66"/>
    </row>
    <row r="65">
      <c r="A65" s="63"/>
      <c r="B65" s="74"/>
      <c r="C65" s="85" t="s">
        <v>179</v>
      </c>
      <c r="D65" s="57"/>
      <c r="E65" s="30"/>
      <c r="F65" s="30"/>
      <c r="G65" s="30"/>
    </row>
    <row r="66">
      <c r="A66" s="76"/>
      <c r="B66" s="66"/>
      <c r="C66" s="51"/>
      <c r="D66" s="51"/>
      <c r="E66" s="51"/>
      <c r="F66" s="51"/>
      <c r="G66" s="51"/>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2" t="s">
        <v>139</v>
      </c>
      <c r="B1" s="4" t="s">
        <v>180</v>
      </c>
    </row>
    <row r="2">
      <c r="A2" s="43">
        <v>1.0</v>
      </c>
      <c r="B2" s="43">
        <f>'Mid-Project Release plan'!F9</f>
        <v>1</v>
      </c>
    </row>
    <row r="3">
      <c r="A3" s="43">
        <f t="shared" ref="A3:A16" si="1">A2+1</f>
        <v>2</v>
      </c>
      <c r="B3" s="43">
        <f>'Mid-Project Release plan'!F10</f>
        <v>12</v>
      </c>
    </row>
    <row r="4">
      <c r="A4" s="43">
        <f t="shared" si="1"/>
        <v>3</v>
      </c>
      <c r="B4" s="43">
        <f>'Mid-Project Release plan'!F11</f>
        <v>18</v>
      </c>
    </row>
    <row r="5">
      <c r="A5" s="43">
        <f t="shared" si="1"/>
        <v>4</v>
      </c>
      <c r="B5" s="43">
        <f>'Mid-Project Release plan'!F12</f>
        <v>36</v>
      </c>
    </row>
    <row r="6">
      <c r="A6" s="43">
        <f t="shared" si="1"/>
        <v>5</v>
      </c>
      <c r="B6" s="43" t="str">
        <f>IF('Mid-Project Release plan'!F13=0, "", 'Mid-Project Release plan'!F13)</f>
        <v/>
      </c>
    </row>
    <row r="7">
      <c r="A7" s="43">
        <f t="shared" si="1"/>
        <v>6</v>
      </c>
      <c r="B7" s="43" t="str">
        <f>IF('Mid-Project Release plan'!F14=0, "", 'Mid-Project Release plan'!F14)</f>
        <v/>
      </c>
    </row>
    <row r="8">
      <c r="A8" s="43">
        <f t="shared" si="1"/>
        <v>7</v>
      </c>
      <c r="B8" s="44"/>
    </row>
    <row r="9">
      <c r="A9" s="43">
        <f t="shared" si="1"/>
        <v>8</v>
      </c>
      <c r="B9" s="44"/>
    </row>
    <row r="10">
      <c r="A10" s="43">
        <f t="shared" si="1"/>
        <v>9</v>
      </c>
      <c r="B10" s="44"/>
    </row>
    <row r="11">
      <c r="A11" s="43">
        <f t="shared" si="1"/>
        <v>10</v>
      </c>
      <c r="B11" s="44"/>
    </row>
    <row r="12">
      <c r="A12" s="43">
        <f t="shared" si="1"/>
        <v>11</v>
      </c>
      <c r="B12" s="44"/>
    </row>
    <row r="13">
      <c r="A13" s="43">
        <f t="shared" si="1"/>
        <v>12</v>
      </c>
      <c r="B13" s="44"/>
    </row>
    <row r="14">
      <c r="A14" s="43">
        <f t="shared" si="1"/>
        <v>13</v>
      </c>
      <c r="B14" s="44"/>
    </row>
    <row r="15">
      <c r="A15" s="43">
        <f t="shared" si="1"/>
        <v>14</v>
      </c>
      <c r="B15" s="44"/>
    </row>
    <row r="16">
      <c r="A16" s="43">
        <f t="shared" si="1"/>
        <v>15</v>
      </c>
      <c r="B16" s="44"/>
    </row>
    <row r="17">
      <c r="A17" s="43"/>
      <c r="B17" s="44"/>
    </row>
    <row r="18">
      <c r="A18" s="43"/>
      <c r="B18" s="86" t="s">
        <v>181</v>
      </c>
    </row>
    <row r="19">
      <c r="A19" s="44"/>
      <c r="B19" s="44"/>
    </row>
    <row r="20">
      <c r="A20" s="43"/>
      <c r="B20" s="44"/>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38"/>
    <col customWidth="1" min="3" max="3" width="62.63"/>
    <col customWidth="1" min="4" max="7" width="15.75"/>
  </cols>
  <sheetData>
    <row r="1">
      <c r="A1" s="45" t="s">
        <v>145</v>
      </c>
      <c r="B1" s="87" t="s">
        <v>146</v>
      </c>
      <c r="C1" s="47" t="s">
        <v>147</v>
      </c>
      <c r="D1" s="48" t="s">
        <v>148</v>
      </c>
      <c r="E1" s="48" t="s">
        <v>149</v>
      </c>
      <c r="F1" s="48" t="s">
        <v>150</v>
      </c>
      <c r="G1" s="48" t="s">
        <v>151</v>
      </c>
    </row>
    <row r="2">
      <c r="A2" s="49"/>
      <c r="B2" s="51"/>
      <c r="C2" s="51"/>
      <c r="D2" s="51"/>
      <c r="E2" s="51"/>
      <c r="F2" s="51"/>
      <c r="G2" s="51"/>
    </row>
    <row r="3">
      <c r="A3" s="52" t="s">
        <v>152</v>
      </c>
      <c r="B3" s="54"/>
      <c r="C3" s="54"/>
      <c r="D3" s="54"/>
      <c r="E3" s="54"/>
      <c r="F3" s="54"/>
      <c r="G3" s="54"/>
    </row>
    <row r="4">
      <c r="A4" s="49"/>
      <c r="B4" s="51"/>
      <c r="C4" s="51"/>
      <c r="D4" s="51"/>
      <c r="E4" s="51"/>
      <c r="F4" s="51"/>
      <c r="G4" s="51"/>
    </row>
    <row r="5">
      <c r="A5" s="55" t="s">
        <v>153</v>
      </c>
      <c r="B5" s="30"/>
      <c r="C5" s="30"/>
      <c r="D5" s="57">
        <f>sum(D8:D15)</f>
        <v>0</v>
      </c>
      <c r="E5" s="57">
        <f>D5</f>
        <v>0</v>
      </c>
      <c r="F5" s="30"/>
      <c r="G5" s="30"/>
    </row>
    <row r="6">
      <c r="A6" s="49"/>
      <c r="B6" s="51"/>
      <c r="C6" s="51"/>
      <c r="D6" s="51"/>
      <c r="E6" s="51"/>
      <c r="F6" s="51"/>
      <c r="G6" s="51"/>
    </row>
    <row r="7">
      <c r="A7" s="58" t="s">
        <v>154</v>
      </c>
      <c r="B7" s="88"/>
      <c r="C7" s="60"/>
      <c r="D7" s="60"/>
      <c r="E7" s="60"/>
      <c r="F7" s="60"/>
      <c r="G7" s="60"/>
    </row>
    <row r="8">
      <c r="A8" s="49"/>
      <c r="B8" s="51"/>
      <c r="C8" s="51"/>
      <c r="D8" s="51"/>
      <c r="E8" s="89" t="s">
        <v>182</v>
      </c>
      <c r="F8" s="51"/>
      <c r="G8" s="89" t="s">
        <v>183</v>
      </c>
    </row>
    <row r="9">
      <c r="A9" s="67">
        <v>7.0</v>
      </c>
      <c r="B9" s="30"/>
      <c r="C9" s="30"/>
      <c r="D9" s="57">
        <f>sum(D19:D24)</f>
        <v>0</v>
      </c>
      <c r="E9" s="57">
        <f>$D$5</f>
        <v>0</v>
      </c>
      <c r="F9" s="57">
        <f>sum(F19:F24)</f>
        <v>0</v>
      </c>
      <c r="G9" s="57">
        <f>$D$5</f>
        <v>0</v>
      </c>
    </row>
    <row r="10">
      <c r="A10" s="49">
        <f t="shared" ref="A10:A11" si="1">A9+1</f>
        <v>8</v>
      </c>
      <c r="B10" s="51"/>
      <c r="C10" s="51"/>
      <c r="D10" s="64">
        <f>sum(D25:D30)</f>
        <v>0</v>
      </c>
      <c r="E10" s="64">
        <f t="shared" ref="E10:E12" si="2">E9-D9</f>
        <v>0</v>
      </c>
      <c r="F10" s="64">
        <f>sum(F25:F30)</f>
        <v>0</v>
      </c>
      <c r="G10" s="64">
        <f t="shared" ref="G10:G12" si="3">G9-F9</f>
        <v>0</v>
      </c>
    </row>
    <row r="11">
      <c r="A11" s="63">
        <f t="shared" si="1"/>
        <v>9</v>
      </c>
      <c r="B11" s="30"/>
      <c r="C11" s="30"/>
      <c r="D11" s="57">
        <f>sum(D31:D36)</f>
        <v>0</v>
      </c>
      <c r="E11" s="57">
        <f t="shared" si="2"/>
        <v>0</v>
      </c>
      <c r="F11" s="57">
        <f>sum(F31:F36)</f>
        <v>0</v>
      </c>
      <c r="G11" s="57">
        <f t="shared" si="3"/>
        <v>0</v>
      </c>
    </row>
    <row r="12">
      <c r="A12" s="65">
        <v>10.0</v>
      </c>
      <c r="B12" s="51"/>
      <c r="C12" s="51"/>
      <c r="D12" s="51"/>
      <c r="E12" s="64">
        <f t="shared" si="2"/>
        <v>0</v>
      </c>
      <c r="F12" s="51"/>
      <c r="G12" s="64">
        <f t="shared" si="3"/>
        <v>0</v>
      </c>
    </row>
    <row r="13">
      <c r="A13" s="63">
        <v>11.0</v>
      </c>
      <c r="B13" s="30"/>
      <c r="C13" s="30"/>
      <c r="D13" s="57"/>
      <c r="E13" s="57"/>
      <c r="F13" s="57"/>
      <c r="G13" s="57"/>
    </row>
    <row r="14">
      <c r="A14" s="65">
        <v>12.0</v>
      </c>
      <c r="B14" s="51"/>
      <c r="C14" s="51"/>
      <c r="D14" s="51"/>
      <c r="E14" s="64"/>
      <c r="F14" s="51"/>
      <c r="G14" s="64"/>
    </row>
    <row r="15">
      <c r="A15" s="63">
        <v>13.0</v>
      </c>
      <c r="B15" s="30"/>
      <c r="C15" s="30"/>
      <c r="D15" s="57"/>
      <c r="E15" s="57"/>
      <c r="F15" s="57"/>
      <c r="G15" s="57"/>
    </row>
    <row r="16">
      <c r="A16" s="65"/>
      <c r="B16" s="51"/>
      <c r="C16" s="51"/>
      <c r="D16" s="51"/>
      <c r="E16" s="64"/>
      <c r="F16" s="51"/>
      <c r="G16" s="64"/>
    </row>
    <row r="17">
      <c r="A17" s="69" t="s">
        <v>155</v>
      </c>
      <c r="B17" s="70"/>
      <c r="C17" s="71"/>
      <c r="D17" s="71"/>
      <c r="E17" s="71"/>
      <c r="F17" s="71"/>
      <c r="G17" s="71"/>
    </row>
    <row r="18">
      <c r="A18" s="63"/>
      <c r="B18" s="30"/>
      <c r="C18" s="30"/>
      <c r="D18" s="30"/>
      <c r="E18" s="30"/>
      <c r="F18" s="30"/>
      <c r="G18" s="30"/>
    </row>
    <row r="19">
      <c r="A19" s="72">
        <f>A9</f>
        <v>7</v>
      </c>
      <c r="B19" s="51"/>
      <c r="C19" s="51"/>
      <c r="D19" s="51"/>
      <c r="E19" s="51"/>
      <c r="F19" s="51"/>
      <c r="G19" s="51"/>
    </row>
    <row r="20">
      <c r="A20" s="63"/>
      <c r="B20" s="74"/>
      <c r="C20" s="30"/>
      <c r="D20" s="30"/>
      <c r="E20" s="30"/>
      <c r="F20" s="30"/>
      <c r="G20" s="30"/>
    </row>
    <row r="21">
      <c r="A21" s="49"/>
      <c r="B21" s="90"/>
      <c r="C21" s="66"/>
      <c r="D21" s="75"/>
      <c r="E21" s="50"/>
      <c r="F21" s="75"/>
      <c r="G21" s="50"/>
    </row>
    <row r="22">
      <c r="A22" s="63"/>
      <c r="B22" s="30"/>
      <c r="C22" s="30"/>
      <c r="D22" s="57"/>
      <c r="E22" s="30"/>
      <c r="F22" s="57"/>
      <c r="G22" s="30"/>
    </row>
    <row r="23">
      <c r="A23" s="76"/>
      <c r="B23" s="51"/>
      <c r="C23" s="66"/>
      <c r="D23" s="64"/>
      <c r="E23" s="66"/>
      <c r="F23" s="64"/>
      <c r="G23" s="66"/>
    </row>
    <row r="24">
      <c r="A24" s="63"/>
      <c r="B24" s="30"/>
      <c r="C24" s="30"/>
      <c r="D24" s="57"/>
      <c r="E24" s="30"/>
      <c r="F24" s="57"/>
      <c r="G24" s="30"/>
    </row>
    <row r="25">
      <c r="A25" s="72">
        <f>A10</f>
        <v>8</v>
      </c>
      <c r="B25" s="51"/>
      <c r="C25" s="51"/>
      <c r="D25" s="51"/>
      <c r="E25" s="51"/>
      <c r="F25" s="51"/>
      <c r="G25" s="51"/>
    </row>
    <row r="26">
      <c r="A26" s="63"/>
      <c r="B26" s="74"/>
      <c r="C26" s="30"/>
      <c r="D26" s="30"/>
      <c r="E26" s="30"/>
      <c r="F26" s="30"/>
      <c r="G26" s="30"/>
    </row>
    <row r="27">
      <c r="A27" s="76"/>
      <c r="B27" s="51"/>
      <c r="C27" s="66"/>
      <c r="D27" s="64"/>
      <c r="E27" s="66"/>
      <c r="F27" s="64"/>
      <c r="G27" s="66"/>
    </row>
    <row r="28">
      <c r="A28" s="63"/>
      <c r="B28" s="30"/>
      <c r="C28" s="30"/>
      <c r="D28" s="57"/>
      <c r="E28" s="30"/>
      <c r="F28" s="57"/>
      <c r="G28" s="30"/>
    </row>
    <row r="29">
      <c r="A29" s="76"/>
      <c r="B29" s="51"/>
      <c r="C29" s="66"/>
      <c r="D29" s="64"/>
      <c r="E29" s="66"/>
      <c r="F29" s="64"/>
      <c r="G29" s="66"/>
    </row>
    <row r="30">
      <c r="A30" s="63"/>
      <c r="B30" s="30"/>
      <c r="C30" s="30"/>
      <c r="D30" s="57"/>
      <c r="E30" s="30"/>
      <c r="F30" s="57"/>
      <c r="G30" s="30"/>
    </row>
    <row r="31">
      <c r="A31" s="72">
        <f>A11</f>
        <v>9</v>
      </c>
      <c r="B31" s="51"/>
      <c r="C31" s="51"/>
      <c r="D31" s="51"/>
      <c r="E31" s="51"/>
      <c r="F31" s="51"/>
      <c r="G31" s="51"/>
    </row>
    <row r="32">
      <c r="A32" s="63"/>
      <c r="B32" s="74"/>
      <c r="C32" s="30"/>
      <c r="D32" s="30"/>
      <c r="E32" s="30"/>
      <c r="F32" s="30"/>
      <c r="G32" s="30"/>
    </row>
    <row r="33">
      <c r="A33" s="76"/>
      <c r="B33" s="51"/>
      <c r="C33" s="66"/>
      <c r="D33" s="64"/>
      <c r="E33" s="66"/>
      <c r="F33" s="66"/>
      <c r="G33" s="66"/>
    </row>
    <row r="34">
      <c r="A34" s="63"/>
      <c r="B34" s="30"/>
      <c r="C34" s="30"/>
      <c r="D34" s="57"/>
      <c r="E34" s="30"/>
      <c r="F34" s="30"/>
      <c r="G34" s="30"/>
    </row>
    <row r="35">
      <c r="A35" s="76"/>
      <c r="B35" s="51"/>
      <c r="C35" s="51"/>
      <c r="D35" s="64"/>
      <c r="E35" s="66"/>
      <c r="F35" s="66"/>
      <c r="G35" s="66"/>
    </row>
    <row r="36">
      <c r="A36" s="63"/>
      <c r="B36" s="30"/>
      <c r="C36" s="30"/>
      <c r="D36" s="57"/>
      <c r="E36" s="30"/>
      <c r="F36" s="30"/>
      <c r="G36" s="30"/>
    </row>
    <row r="37">
      <c r="A37" s="76"/>
      <c r="B37" s="51"/>
      <c r="C37" s="51"/>
      <c r="D37" s="64"/>
      <c r="E37" s="66"/>
      <c r="F37" s="66"/>
      <c r="G37" s="66"/>
    </row>
    <row r="38">
      <c r="A38" s="63"/>
      <c r="B38" s="30"/>
      <c r="C38" s="30"/>
      <c r="D38" s="57"/>
      <c r="E38" s="30"/>
      <c r="F38" s="30"/>
      <c r="G38" s="30"/>
    </row>
    <row r="39">
      <c r="A39" s="76"/>
      <c r="B39" s="51"/>
      <c r="C39" s="51"/>
      <c r="D39" s="64"/>
      <c r="E39" s="66"/>
      <c r="F39" s="66"/>
      <c r="G39" s="66"/>
    </row>
    <row r="40">
      <c r="A40" s="63"/>
      <c r="B40" s="30"/>
      <c r="C40" s="30"/>
      <c r="D40" s="57"/>
      <c r="E40" s="30"/>
      <c r="F40" s="30"/>
      <c r="G40" s="30"/>
    </row>
    <row r="41">
      <c r="A41" s="76"/>
      <c r="B41" s="51"/>
      <c r="C41" s="51"/>
      <c r="D41" s="64"/>
      <c r="E41" s="66"/>
      <c r="F41" s="66"/>
      <c r="G41" s="66"/>
    </row>
    <row r="42">
      <c r="A42" s="63"/>
      <c r="B42" s="30"/>
      <c r="C42" s="30"/>
      <c r="D42" s="57"/>
      <c r="E42" s="30"/>
      <c r="F42" s="30"/>
      <c r="G42" s="30"/>
    </row>
    <row r="43">
      <c r="A43" s="76"/>
      <c r="B43" s="51"/>
      <c r="C43" s="51"/>
      <c r="D43" s="64"/>
      <c r="E43" s="66"/>
      <c r="F43" s="66"/>
      <c r="G43" s="66"/>
    </row>
    <row r="44">
      <c r="A44" s="63"/>
      <c r="B44" s="30"/>
      <c r="C44" s="30"/>
      <c r="D44" s="57"/>
      <c r="E44" s="30"/>
      <c r="F44" s="30"/>
      <c r="G44" s="30"/>
    </row>
    <row r="45">
      <c r="A45" s="76"/>
      <c r="B45" s="51"/>
      <c r="C45" s="51"/>
      <c r="D45" s="64"/>
      <c r="E45" s="66"/>
      <c r="F45" s="66"/>
      <c r="G45" s="66"/>
    </row>
    <row r="46">
      <c r="A46" s="63"/>
      <c r="B46" s="30"/>
      <c r="C46" s="30"/>
      <c r="D46" s="57"/>
      <c r="E46" s="30"/>
      <c r="F46" s="30"/>
      <c r="G46" s="30"/>
    </row>
    <row r="47">
      <c r="A47" s="76"/>
      <c r="B47" s="51"/>
      <c r="C47" s="51"/>
      <c r="D47" s="64"/>
      <c r="E47" s="66"/>
      <c r="F47" s="66"/>
      <c r="G47" s="66"/>
    </row>
    <row r="48">
      <c r="A48" s="63"/>
      <c r="B48" s="30"/>
      <c r="C48" s="30"/>
      <c r="D48" s="57"/>
      <c r="E48" s="30"/>
      <c r="F48" s="30"/>
      <c r="G48" s="30"/>
    </row>
    <row r="49">
      <c r="A49" s="76"/>
      <c r="B49" s="51"/>
      <c r="C49" s="51"/>
      <c r="D49" s="64"/>
      <c r="E49" s="66"/>
      <c r="F49" s="66"/>
      <c r="G49" s="66"/>
    </row>
    <row r="50">
      <c r="A50" s="63"/>
      <c r="B50" s="30"/>
      <c r="C50" s="30"/>
      <c r="D50" s="57"/>
      <c r="E50" s="30"/>
      <c r="F50" s="30"/>
      <c r="G50" s="30"/>
    </row>
    <row r="51">
      <c r="A51" s="76"/>
      <c r="B51" s="51"/>
      <c r="C51" s="51"/>
      <c r="D51" s="64"/>
      <c r="E51" s="66"/>
      <c r="F51" s="66"/>
      <c r="G51" s="66"/>
    </row>
    <row r="52">
      <c r="A52" s="63"/>
      <c r="B52" s="30"/>
      <c r="C52" s="30"/>
      <c r="D52" s="57"/>
      <c r="E52" s="30"/>
      <c r="F52" s="30"/>
      <c r="G52" s="30"/>
    </row>
    <row r="53">
      <c r="A53" s="76"/>
      <c r="B53" s="51"/>
      <c r="C53" s="51"/>
      <c r="D53" s="64"/>
      <c r="E53" s="66"/>
      <c r="F53" s="66"/>
      <c r="G53" s="66"/>
    </row>
    <row r="54">
      <c r="A54" s="63"/>
      <c r="B54" s="30"/>
      <c r="C54" s="30"/>
      <c r="D54" s="57"/>
      <c r="E54" s="30"/>
      <c r="F54" s="30"/>
      <c r="G54" s="30"/>
    </row>
    <row r="55">
      <c r="A55" s="76"/>
      <c r="B55" s="51"/>
      <c r="C55" s="51"/>
      <c r="D55" s="64"/>
      <c r="E55" s="66"/>
      <c r="F55" s="66"/>
      <c r="G55" s="66"/>
    </row>
    <row r="56">
      <c r="A56" s="63"/>
      <c r="B56" s="30"/>
      <c r="C56" s="30"/>
      <c r="D56" s="57"/>
      <c r="E56" s="30"/>
      <c r="F56" s="30"/>
      <c r="G56" s="30"/>
    </row>
    <row r="57">
      <c r="A57" s="76"/>
      <c r="B57" s="51"/>
      <c r="C57" s="51"/>
      <c r="D57" s="64"/>
      <c r="E57" s="66"/>
      <c r="F57" s="66"/>
      <c r="G57" s="66"/>
    </row>
    <row r="58">
      <c r="A58" s="63"/>
      <c r="B58" s="30"/>
      <c r="C58" s="30"/>
      <c r="D58" s="57"/>
      <c r="E58" s="30"/>
      <c r="F58" s="30"/>
      <c r="G58" s="30"/>
    </row>
    <row r="59">
      <c r="A59" s="76"/>
      <c r="B59" s="51"/>
      <c r="C59" s="51"/>
      <c r="D59" s="64"/>
      <c r="E59" s="66"/>
      <c r="F59" s="66"/>
      <c r="G59" s="66"/>
    </row>
    <row r="60">
      <c r="A60" s="63"/>
      <c r="B60" s="30"/>
      <c r="C60" s="30"/>
      <c r="D60" s="57"/>
      <c r="E60" s="30"/>
      <c r="F60" s="30"/>
      <c r="G60" s="30"/>
    </row>
    <row r="61">
      <c r="A61" s="76"/>
      <c r="B61" s="51"/>
      <c r="C61" s="51"/>
      <c r="D61" s="64"/>
      <c r="E61" s="66"/>
      <c r="F61" s="66"/>
      <c r="G61" s="66"/>
    </row>
    <row r="62">
      <c r="A62" s="63"/>
      <c r="B62" s="30"/>
      <c r="C62" s="30"/>
      <c r="D62" s="57"/>
      <c r="E62" s="30"/>
      <c r="F62" s="30"/>
      <c r="G62" s="30"/>
    </row>
    <row r="63">
      <c r="A63" s="76"/>
      <c r="B63" s="51"/>
      <c r="C63" s="51"/>
      <c r="D63" s="64"/>
      <c r="E63" s="66"/>
      <c r="F63" s="66"/>
      <c r="G63" s="66"/>
    </row>
    <row r="64">
      <c r="A64" s="63"/>
      <c r="B64" s="30"/>
      <c r="C64" s="30"/>
      <c r="D64" s="57"/>
      <c r="E64" s="30"/>
      <c r="F64" s="30"/>
      <c r="G64" s="30"/>
    </row>
    <row r="65">
      <c r="A65" s="76"/>
      <c r="B65" s="51"/>
      <c r="C65" s="51"/>
      <c r="D65" s="64"/>
      <c r="E65" s="66"/>
      <c r="F65" s="66"/>
      <c r="G65" s="66"/>
    </row>
    <row r="66">
      <c r="A66" s="63"/>
      <c r="B66" s="30"/>
      <c r="C66" s="30"/>
      <c r="D66" s="57"/>
      <c r="E66" s="30"/>
      <c r="F66" s="30"/>
      <c r="G66" s="30"/>
    </row>
    <row r="67">
      <c r="A67" s="76"/>
      <c r="B67" s="51"/>
      <c r="C67" s="51"/>
      <c r="D67" s="64"/>
      <c r="E67" s="66"/>
      <c r="F67" s="66"/>
      <c r="G67" s="66"/>
    </row>
    <row r="68">
      <c r="A68" s="63"/>
      <c r="B68" s="30"/>
      <c r="C68" s="30"/>
      <c r="D68" s="57"/>
      <c r="E68" s="30"/>
      <c r="F68" s="30"/>
      <c r="G68" s="30"/>
    </row>
    <row r="69">
      <c r="A69" s="76"/>
      <c r="B69" s="51"/>
      <c r="C69" s="51"/>
      <c r="D69" s="64"/>
      <c r="E69" s="66"/>
      <c r="F69" s="66"/>
      <c r="G69" s="66"/>
    </row>
    <row r="70">
      <c r="A70" s="63"/>
      <c r="B70" s="30"/>
      <c r="C70" s="30"/>
      <c r="D70" s="57"/>
      <c r="E70" s="30"/>
      <c r="F70" s="30"/>
      <c r="G70" s="30"/>
    </row>
    <row r="71">
      <c r="A71" s="76"/>
      <c r="B71" s="51"/>
      <c r="C71" s="51"/>
      <c r="D71" s="64"/>
      <c r="E71" s="66"/>
      <c r="F71" s="66"/>
      <c r="G71" s="66"/>
    </row>
    <row r="72">
      <c r="A72" s="76"/>
      <c r="B72" s="51"/>
      <c r="C72" s="91" t="s">
        <v>179</v>
      </c>
      <c r="D72" s="51"/>
      <c r="E72" s="51"/>
      <c r="F72" s="51"/>
      <c r="G72" s="51"/>
    </row>
    <row r="73">
      <c r="A73" s="76"/>
      <c r="B73" s="51"/>
      <c r="C73" s="51"/>
      <c r="D73" s="51"/>
      <c r="E73" s="51"/>
      <c r="F73" s="51"/>
      <c r="G73" s="51"/>
    </row>
    <row r="74">
      <c r="A74" s="76"/>
      <c r="B74" s="51"/>
      <c r="C74" s="51"/>
      <c r="D74" s="51"/>
      <c r="E74" s="51"/>
      <c r="F74" s="51"/>
      <c r="G74" s="51"/>
    </row>
    <row r="75">
      <c r="A75" s="76"/>
      <c r="B75" s="51"/>
      <c r="C75" s="51"/>
      <c r="D75" s="51"/>
      <c r="E75" s="51"/>
      <c r="F75" s="51"/>
      <c r="G75" s="51"/>
    </row>
    <row r="76">
      <c r="A76" s="76"/>
      <c r="B76" s="51"/>
      <c r="C76" s="51"/>
      <c r="D76" s="51"/>
      <c r="E76" s="51"/>
      <c r="F76" s="51"/>
      <c r="G76" s="51"/>
    </row>
    <row r="77">
      <c r="A77" s="76"/>
      <c r="B77" s="51"/>
      <c r="C77" s="51"/>
      <c r="D77" s="51"/>
      <c r="E77" s="51"/>
      <c r="F77" s="51"/>
      <c r="G77" s="51"/>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2" width="40.13"/>
    <col customWidth="1" min="3" max="3" width="36.75"/>
    <col customWidth="1" min="4" max="4" width="46.13"/>
  </cols>
  <sheetData>
    <row r="1">
      <c r="A1" s="92" t="s">
        <v>69</v>
      </c>
      <c r="B1" s="46" t="s">
        <v>184</v>
      </c>
      <c r="C1" s="46" t="s">
        <v>185</v>
      </c>
      <c r="D1" s="93" t="s">
        <v>186</v>
      </c>
    </row>
    <row r="2">
      <c r="A2" s="2"/>
      <c r="B2" s="2" t="s">
        <v>187</v>
      </c>
      <c r="C2" s="3"/>
      <c r="D2" s="3"/>
    </row>
    <row r="3">
      <c r="A3" s="3"/>
      <c r="B3" s="2" t="s">
        <v>188</v>
      </c>
      <c r="C3" s="3"/>
      <c r="D3" s="3"/>
    </row>
    <row r="4">
      <c r="A4" s="3"/>
      <c r="B4" s="2" t="s">
        <v>189</v>
      </c>
      <c r="C4" s="3"/>
      <c r="D4" s="3"/>
    </row>
    <row r="5">
      <c r="A5" s="3"/>
      <c r="B5" s="2" t="s">
        <v>190</v>
      </c>
      <c r="C5" s="3"/>
      <c r="D5" s="3"/>
    </row>
    <row r="6">
      <c r="A6" s="3"/>
      <c r="B6" s="3"/>
      <c r="C6" s="2" t="s">
        <v>191</v>
      </c>
      <c r="D6" s="3"/>
    </row>
    <row r="7">
      <c r="A7" s="3"/>
      <c r="B7" s="3"/>
      <c r="C7" s="2" t="s">
        <v>192</v>
      </c>
      <c r="D7" s="3"/>
    </row>
    <row r="8">
      <c r="A8" s="3"/>
      <c r="B8" s="3"/>
      <c r="C8" s="2" t="s">
        <v>193</v>
      </c>
    </row>
    <row r="9">
      <c r="A9" s="3"/>
      <c r="B9" s="3"/>
      <c r="C9" s="3"/>
      <c r="D9" s="2" t="s">
        <v>194</v>
      </c>
    </row>
    <row r="10">
      <c r="A10" s="3"/>
      <c r="B10" s="3"/>
      <c r="C10" s="3"/>
      <c r="D10" s="2" t="s">
        <v>195</v>
      </c>
    </row>
    <row r="11">
      <c r="A11" s="3"/>
      <c r="B11" s="3"/>
      <c r="C11" s="3"/>
      <c r="D11" s="2" t="s">
        <v>196</v>
      </c>
    </row>
    <row r="12">
      <c r="A12" s="3"/>
      <c r="B12" s="3"/>
      <c r="C12" s="3"/>
      <c r="D12" s="2" t="s">
        <v>197</v>
      </c>
    </row>
    <row r="13">
      <c r="A13" s="3"/>
      <c r="B13" s="3"/>
      <c r="C13" s="3"/>
      <c r="D13" s="2" t="s">
        <v>198</v>
      </c>
    </row>
    <row r="14">
      <c r="A14" s="3"/>
      <c r="B14" s="3"/>
      <c r="C14" s="3"/>
      <c r="D14" s="2" t="s">
        <v>199</v>
      </c>
    </row>
    <row r="15">
      <c r="A15" s="3"/>
      <c r="B15" s="3"/>
      <c r="C15" s="3"/>
      <c r="D15" s="2" t="s">
        <v>200</v>
      </c>
    </row>
    <row r="16">
      <c r="A16" s="3"/>
      <c r="B16" s="3"/>
      <c r="C16" s="3"/>
      <c r="D16" s="2" t="s">
        <v>201</v>
      </c>
    </row>
    <row r="17">
      <c r="A17" s="3"/>
      <c r="B17" s="3"/>
      <c r="C17" s="3"/>
      <c r="D17" s="2" t="s">
        <v>202</v>
      </c>
    </row>
    <row r="18">
      <c r="A18" s="3"/>
      <c r="B18" s="3"/>
      <c r="C18" s="3"/>
      <c r="D18" s="2" t="s">
        <v>203</v>
      </c>
    </row>
    <row r="19">
      <c r="A19" s="3"/>
      <c r="B19" s="3"/>
      <c r="C19" s="3"/>
      <c r="D19" s="3"/>
    </row>
    <row r="20">
      <c r="A20" s="3"/>
      <c r="B20" s="3"/>
      <c r="C20" s="3"/>
      <c r="D20" s="3"/>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 t="s">
        <v>204</v>
      </c>
      <c r="B1" s="4" t="s">
        <v>205</v>
      </c>
    </row>
    <row r="2">
      <c r="A2" s="2" t="s">
        <v>206</v>
      </c>
      <c r="B2" s="8" t="s">
        <v>17</v>
      </c>
    </row>
    <row r="3">
      <c r="A3" s="3"/>
      <c r="B3" s="3"/>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hyperlinks>
    <hyperlink r:id="rId1" ref="B2"/>
  </hyperlinks>
  <drawing r:id="rId2"/>
  <tableParts count="1">
    <tablePart r:id="rId4"/>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5.13"/>
    <col customWidth="1" min="3" max="3" width="37.63"/>
    <col customWidth="1" min="4" max="4" width="9.5"/>
    <col customWidth="1" min="5" max="5" width="12.63"/>
    <col customWidth="1" min="6" max="6" width="37.63"/>
  </cols>
  <sheetData>
    <row r="1">
      <c r="A1" s="9" t="s">
        <v>69</v>
      </c>
      <c r="B1" s="4" t="s">
        <v>207</v>
      </c>
      <c r="C1" s="4" t="s">
        <v>208</v>
      </c>
      <c r="D1" s="4" t="s">
        <v>209</v>
      </c>
      <c r="E1" s="4" t="s">
        <v>210</v>
      </c>
      <c r="F1" s="4" t="s">
        <v>76</v>
      </c>
    </row>
    <row r="2">
      <c r="A2" s="2">
        <v>1.0</v>
      </c>
      <c r="B2" s="2" t="s">
        <v>211</v>
      </c>
      <c r="C2" s="2" t="s">
        <v>212</v>
      </c>
      <c r="D2" s="2" t="s">
        <v>213</v>
      </c>
      <c r="E2" s="2" t="s">
        <v>214</v>
      </c>
      <c r="F2" s="2" t="s">
        <v>215</v>
      </c>
    </row>
    <row r="3">
      <c r="A3" s="2">
        <v>2.0</v>
      </c>
      <c r="B3" s="2" t="s">
        <v>211</v>
      </c>
      <c r="C3" s="2" t="s">
        <v>216</v>
      </c>
      <c r="D3" s="2" t="s">
        <v>217</v>
      </c>
      <c r="E3" s="2" t="s">
        <v>218</v>
      </c>
      <c r="F3" s="35" t="s">
        <v>219</v>
      </c>
    </row>
    <row r="4">
      <c r="A4" s="2">
        <v>3.0</v>
      </c>
      <c r="B4" s="2" t="s">
        <v>211</v>
      </c>
      <c r="C4" s="2" t="s">
        <v>220</v>
      </c>
      <c r="D4" s="2" t="s">
        <v>221</v>
      </c>
      <c r="E4" s="2" t="s">
        <v>214</v>
      </c>
      <c r="F4" s="2" t="s">
        <v>222</v>
      </c>
    </row>
    <row r="5">
      <c r="A5" s="2">
        <v>4.0</v>
      </c>
      <c r="B5" s="2" t="s">
        <v>211</v>
      </c>
      <c r="C5" s="2" t="s">
        <v>223</v>
      </c>
      <c r="D5" s="2" t="s">
        <v>224</v>
      </c>
      <c r="E5" s="2" t="s">
        <v>214</v>
      </c>
      <c r="F5" s="35" t="s">
        <v>225</v>
      </c>
    </row>
    <row r="6">
      <c r="A6" s="2">
        <v>5.0</v>
      </c>
      <c r="B6" s="2" t="s">
        <v>211</v>
      </c>
      <c r="C6" s="2" t="s">
        <v>226</v>
      </c>
      <c r="D6" s="2" t="s">
        <v>227</v>
      </c>
      <c r="E6" s="2" t="s">
        <v>218</v>
      </c>
      <c r="F6" s="35" t="s">
        <v>228</v>
      </c>
    </row>
    <row r="7">
      <c r="A7" s="2">
        <v>6.0</v>
      </c>
      <c r="B7" s="2" t="s">
        <v>211</v>
      </c>
      <c r="C7" s="2" t="s">
        <v>229</v>
      </c>
      <c r="D7" s="2" t="s">
        <v>230</v>
      </c>
      <c r="E7" s="2" t="s">
        <v>231</v>
      </c>
      <c r="F7" s="35" t="s">
        <v>232</v>
      </c>
    </row>
    <row r="8">
      <c r="A8" s="2">
        <v>7.0</v>
      </c>
      <c r="B8" s="2" t="s">
        <v>211</v>
      </c>
      <c r="C8" s="2" t="s">
        <v>233</v>
      </c>
      <c r="D8" s="2" t="s">
        <v>234</v>
      </c>
      <c r="E8" s="2" t="s">
        <v>214</v>
      </c>
      <c r="F8" s="35" t="s">
        <v>235</v>
      </c>
    </row>
    <row r="9">
      <c r="A9" s="2">
        <v>8.0</v>
      </c>
      <c r="B9" s="2" t="s">
        <v>211</v>
      </c>
      <c r="C9" s="2" t="s">
        <v>236</v>
      </c>
      <c r="D9" s="2" t="s">
        <v>237</v>
      </c>
      <c r="E9" s="2" t="s">
        <v>214</v>
      </c>
      <c r="F9" s="35" t="s">
        <v>238</v>
      </c>
    </row>
    <row r="10">
      <c r="A10" s="2">
        <v>9.0</v>
      </c>
      <c r="B10" s="2" t="s">
        <v>211</v>
      </c>
      <c r="C10" s="2" t="s">
        <v>239</v>
      </c>
      <c r="D10" s="2" t="s">
        <v>240</v>
      </c>
      <c r="E10" s="35" t="s">
        <v>241</v>
      </c>
      <c r="F10" s="35" t="s">
        <v>242</v>
      </c>
    </row>
    <row r="11">
      <c r="A11" s="2">
        <v>10.0</v>
      </c>
      <c r="B11" s="2" t="s">
        <v>211</v>
      </c>
      <c r="C11" s="35" t="s">
        <v>243</v>
      </c>
      <c r="D11" s="2" t="s">
        <v>244</v>
      </c>
      <c r="E11" s="2" t="s">
        <v>214</v>
      </c>
      <c r="F11" s="35" t="s">
        <v>245</v>
      </c>
    </row>
    <row r="12">
      <c r="A12" s="2">
        <v>11.0</v>
      </c>
      <c r="B12" s="2" t="s">
        <v>211</v>
      </c>
      <c r="C12" s="2" t="s">
        <v>246</v>
      </c>
      <c r="D12" s="2" t="s">
        <v>247</v>
      </c>
      <c r="E12" s="2" t="s">
        <v>218</v>
      </c>
      <c r="F12" s="35" t="s">
        <v>248</v>
      </c>
    </row>
    <row r="13">
      <c r="A13" s="2">
        <v>12.0</v>
      </c>
      <c r="B13" s="2" t="s">
        <v>249</v>
      </c>
      <c r="C13" s="2" t="s">
        <v>250</v>
      </c>
      <c r="D13" s="2" t="s">
        <v>251</v>
      </c>
      <c r="E13" s="2" t="s">
        <v>214</v>
      </c>
      <c r="F13" s="35" t="s">
        <v>252</v>
      </c>
    </row>
    <row r="14">
      <c r="A14" s="2">
        <v>13.0</v>
      </c>
      <c r="B14" s="2" t="s">
        <v>249</v>
      </c>
      <c r="C14" s="2" t="s">
        <v>253</v>
      </c>
      <c r="D14" s="2" t="s">
        <v>251</v>
      </c>
      <c r="E14" s="35" t="s">
        <v>214</v>
      </c>
      <c r="F14" s="35" t="s">
        <v>254</v>
      </c>
    </row>
    <row r="15">
      <c r="A15" s="2">
        <v>14.0</v>
      </c>
      <c r="B15" s="2" t="s">
        <v>249</v>
      </c>
      <c r="C15" s="2" t="s">
        <v>255</v>
      </c>
      <c r="D15" s="2" t="s">
        <v>256</v>
      </c>
      <c r="E15" s="35" t="s">
        <v>231</v>
      </c>
      <c r="F15" s="35" t="s">
        <v>257</v>
      </c>
    </row>
    <row r="16">
      <c r="A16" s="2">
        <v>15.0</v>
      </c>
      <c r="B16" s="2" t="s">
        <v>249</v>
      </c>
      <c r="C16" s="2" t="s">
        <v>258</v>
      </c>
      <c r="D16" s="35" t="s">
        <v>224</v>
      </c>
      <c r="E16" s="35" t="s">
        <v>231</v>
      </c>
      <c r="F16" s="35" t="s">
        <v>259</v>
      </c>
    </row>
    <row r="17">
      <c r="A17" s="2">
        <v>16.0</v>
      </c>
      <c r="B17" s="2" t="s">
        <v>249</v>
      </c>
      <c r="C17" s="2" t="s">
        <v>260</v>
      </c>
      <c r="D17" s="2" t="s">
        <v>261</v>
      </c>
      <c r="E17" s="35" t="s">
        <v>231</v>
      </c>
      <c r="F17" s="35" t="s">
        <v>262</v>
      </c>
    </row>
    <row r="18">
      <c r="A18" s="2">
        <v>17.0</v>
      </c>
      <c r="B18" s="35" t="s">
        <v>249</v>
      </c>
      <c r="C18" s="35" t="s">
        <v>263</v>
      </c>
      <c r="D18" s="35" t="s">
        <v>264</v>
      </c>
      <c r="E18" s="35" t="s">
        <v>214</v>
      </c>
      <c r="F18" s="35" t="s">
        <v>265</v>
      </c>
    </row>
    <row r="19">
      <c r="A19" s="2">
        <v>18.0</v>
      </c>
      <c r="B19" s="2" t="s">
        <v>249</v>
      </c>
      <c r="C19" s="35" t="s">
        <v>266</v>
      </c>
      <c r="D19" s="35" t="s">
        <v>267</v>
      </c>
      <c r="E19" s="35" t="s">
        <v>214</v>
      </c>
      <c r="F19" s="35" t="s">
        <v>268</v>
      </c>
    </row>
    <row r="20">
      <c r="A20" s="2">
        <v>19.0</v>
      </c>
      <c r="B20" s="2" t="s">
        <v>249</v>
      </c>
      <c r="C20" s="35" t="s">
        <v>269</v>
      </c>
      <c r="D20" s="35" t="s">
        <v>270</v>
      </c>
      <c r="E20" s="35" t="s">
        <v>214</v>
      </c>
      <c r="F20" s="35" t="s">
        <v>271</v>
      </c>
    </row>
    <row r="21">
      <c r="A21" s="2">
        <v>20.0</v>
      </c>
      <c r="B21" s="2" t="s">
        <v>249</v>
      </c>
      <c r="C21" s="35" t="s">
        <v>272</v>
      </c>
      <c r="D21" s="35" t="s">
        <v>261</v>
      </c>
      <c r="E21" s="35" t="s">
        <v>214</v>
      </c>
      <c r="F21" s="35" t="s">
        <v>273</v>
      </c>
    </row>
    <row r="22">
      <c r="A22" s="2">
        <v>21.0</v>
      </c>
      <c r="B22" s="2" t="s">
        <v>249</v>
      </c>
      <c r="C22" s="35" t="s">
        <v>274</v>
      </c>
      <c r="D22" s="35" t="s">
        <v>275</v>
      </c>
      <c r="E22" s="35" t="s">
        <v>231</v>
      </c>
      <c r="F22" s="35" t="s">
        <v>276</v>
      </c>
    </row>
    <row r="23">
      <c r="A23" s="2">
        <v>22.0</v>
      </c>
      <c r="B23" s="2" t="s">
        <v>249</v>
      </c>
      <c r="C23" s="35" t="s">
        <v>277</v>
      </c>
      <c r="D23" s="35" t="s">
        <v>278</v>
      </c>
      <c r="E23" s="35" t="s">
        <v>214</v>
      </c>
      <c r="F23" s="35" t="s">
        <v>279</v>
      </c>
    </row>
    <row r="24">
      <c r="A24" s="2">
        <v>23.0</v>
      </c>
      <c r="B24" s="2" t="s">
        <v>249</v>
      </c>
      <c r="C24" s="35" t="s">
        <v>280</v>
      </c>
      <c r="D24" s="35" t="s">
        <v>281</v>
      </c>
      <c r="E24" s="35" t="s">
        <v>282</v>
      </c>
      <c r="F24" s="35" t="s">
        <v>283</v>
      </c>
    </row>
    <row r="25">
      <c r="A25" s="2">
        <v>24.0</v>
      </c>
      <c r="B25" s="2" t="s">
        <v>249</v>
      </c>
      <c r="C25" s="35" t="s">
        <v>284</v>
      </c>
      <c r="D25" s="35" t="s">
        <v>285</v>
      </c>
      <c r="E25" s="35" t="s">
        <v>214</v>
      </c>
      <c r="F25" s="35" t="s">
        <v>286</v>
      </c>
    </row>
    <row r="26">
      <c r="A26" s="2">
        <v>25.0</v>
      </c>
      <c r="B26" s="2" t="s">
        <v>249</v>
      </c>
      <c r="C26" s="35" t="s">
        <v>287</v>
      </c>
      <c r="D26" s="35" t="s">
        <v>256</v>
      </c>
      <c r="E26" s="35" t="s">
        <v>214</v>
      </c>
      <c r="F26" s="35" t="s">
        <v>288</v>
      </c>
    </row>
    <row r="27">
      <c r="A27" s="2">
        <v>26.0</v>
      </c>
      <c r="B27" s="35" t="s">
        <v>211</v>
      </c>
      <c r="C27" s="35" t="s">
        <v>289</v>
      </c>
      <c r="D27" s="35" t="s">
        <v>290</v>
      </c>
      <c r="E27" s="35" t="s">
        <v>214</v>
      </c>
      <c r="F27" s="35" t="s">
        <v>291</v>
      </c>
    </row>
    <row r="28">
      <c r="A28" s="2"/>
      <c r="B28" s="2"/>
      <c r="C28" s="35"/>
      <c r="D28" s="35"/>
      <c r="E28" s="35"/>
      <c r="F28" s="35"/>
    </row>
    <row r="29">
      <c r="A29" s="2"/>
      <c r="B29" s="2"/>
      <c r="C29" s="35"/>
      <c r="D29" s="35"/>
      <c r="E29" s="35"/>
      <c r="F29" s="35"/>
    </row>
    <row r="30">
      <c r="A30" s="2"/>
      <c r="B30" s="2"/>
      <c r="C30" s="35"/>
      <c r="D30" s="35"/>
      <c r="E30" s="35"/>
      <c r="F30" s="35"/>
    </row>
    <row r="31">
      <c r="A31" s="2"/>
      <c r="B31" s="2"/>
      <c r="C31" s="35"/>
      <c r="D31" s="35"/>
      <c r="E31" s="35"/>
      <c r="F31" s="35"/>
    </row>
    <row r="32">
      <c r="A32" s="2"/>
      <c r="B32" s="2"/>
      <c r="C32" s="35"/>
      <c r="D32" s="35"/>
      <c r="E32" s="35"/>
      <c r="F32" s="35"/>
    </row>
    <row r="33">
      <c r="A33" s="2"/>
      <c r="B33" s="2"/>
      <c r="C33" s="35"/>
      <c r="D33" s="35"/>
      <c r="E33" s="35"/>
      <c r="F33" s="35"/>
    </row>
    <row r="34">
      <c r="A34" s="2"/>
      <c r="B34" s="2"/>
      <c r="C34" s="35"/>
      <c r="D34" s="35"/>
      <c r="E34" s="35"/>
      <c r="F34" s="35"/>
    </row>
    <row r="35">
      <c r="A35" s="2"/>
      <c r="B35" s="2"/>
      <c r="C35" s="35"/>
      <c r="D35" s="35"/>
      <c r="E35" s="35"/>
      <c r="F35" s="35"/>
    </row>
    <row r="36">
      <c r="A36" s="2"/>
      <c r="B36" s="2"/>
      <c r="C36" s="35"/>
      <c r="D36" s="35"/>
      <c r="E36" s="35"/>
      <c r="F36" s="35"/>
    </row>
    <row r="37">
      <c r="A37" s="2"/>
      <c r="B37" s="2"/>
      <c r="C37" s="35"/>
      <c r="D37" s="35"/>
      <c r="E37" s="35"/>
      <c r="F37" s="35"/>
    </row>
    <row r="38">
      <c r="A38" s="2"/>
      <c r="B38" s="2"/>
      <c r="C38" s="35"/>
      <c r="D38" s="35"/>
      <c r="E38" s="35"/>
      <c r="F38" s="35"/>
    </row>
    <row r="39">
      <c r="A39" s="2"/>
      <c r="B39" s="2"/>
      <c r="C39" s="35"/>
      <c r="D39" s="35"/>
      <c r="E39" s="35"/>
      <c r="F39" s="35"/>
    </row>
    <row r="40">
      <c r="A40" s="2"/>
      <c r="B40" s="2"/>
      <c r="C40" s="35"/>
      <c r="D40" s="35"/>
      <c r="E40" s="35"/>
      <c r="F40" s="35"/>
    </row>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94" t="str">
        <f>'Project Team'!A1</f>
        <v>Last Name</v>
      </c>
      <c r="B1" s="94" t="str">
        <f>'Project Team'!B1</f>
        <v>First Name</v>
      </c>
      <c r="C1" s="95" t="s">
        <v>292</v>
      </c>
      <c r="D1" s="96"/>
      <c r="E1" s="97"/>
      <c r="F1" s="98"/>
      <c r="G1" s="99"/>
      <c r="H1" s="99"/>
    </row>
    <row r="2">
      <c r="A2" s="100" t="str">
        <f>'Project Team'!A2</f>
        <v>Fatima</v>
      </c>
      <c r="B2" s="100" t="str">
        <f>'Project Team'!B2</f>
        <v>Qiblatain</v>
      </c>
      <c r="C2" s="101">
        <v>0.0</v>
      </c>
      <c r="D2" s="102"/>
      <c r="E2" s="103">
        <f>average(C2:C10)</f>
        <v>0</v>
      </c>
      <c r="F2" s="104" t="str">
        <f>if(stdev(C2:C7) &gt; 0,"NOK", "OK")</f>
        <v>OK</v>
      </c>
      <c r="G2" s="105"/>
      <c r="H2" s="105"/>
    </row>
    <row r="3">
      <c r="A3" s="106" t="str">
        <f>'Project Team'!A3</f>
        <v>Huy</v>
      </c>
      <c r="B3" s="106" t="str">
        <f>'Project Team'!B3</f>
        <v>Christoph</v>
      </c>
      <c r="C3" s="101">
        <v>0.0</v>
      </c>
      <c r="D3" s="107"/>
      <c r="G3" s="108"/>
      <c r="H3" s="108"/>
    </row>
    <row r="4">
      <c r="A4" s="100" t="str">
        <f>'Project Team'!A4</f>
        <v>Raza</v>
      </c>
      <c r="B4" s="100" t="str">
        <f>'Project Team'!B4</f>
        <v>Asad</v>
      </c>
      <c r="C4" s="109"/>
      <c r="D4" s="102"/>
      <c r="G4" s="105"/>
      <c r="H4" s="105"/>
    </row>
    <row r="5">
      <c r="A5" s="106" t="str">
        <f>'Project Team'!A5</f>
        <v>Jokiel</v>
      </c>
      <c r="B5" s="106" t="str">
        <f>'Project Team'!B5</f>
        <v>Rene</v>
      </c>
      <c r="C5" s="110"/>
      <c r="D5" s="111"/>
      <c r="E5" s="111"/>
      <c r="F5" s="111"/>
      <c r="G5" s="108"/>
      <c r="H5" s="108"/>
    </row>
    <row r="6">
      <c r="A6" s="100" t="str">
        <f>'Project Team'!A6</f>
        <v>Mosler</v>
      </c>
      <c r="B6" s="100" t="str">
        <f>'Project Team'!B6</f>
        <v>Carl</v>
      </c>
      <c r="C6" s="101"/>
      <c r="D6" s="112"/>
      <c r="E6" s="113">
        <v>0.0</v>
      </c>
      <c r="F6" s="114" t="s">
        <v>293</v>
      </c>
      <c r="G6" s="105"/>
      <c r="H6" s="105"/>
    </row>
    <row r="7">
      <c r="A7" s="106" t="str">
        <f>'Project Team'!A7</f>
        <v>Vineesh</v>
      </c>
      <c r="B7" s="106" t="str">
        <f>'Project Team'!B7</f>
        <v>Koppay</v>
      </c>
      <c r="C7" s="109"/>
      <c r="D7" s="111"/>
      <c r="E7" s="113">
        <v>1.0</v>
      </c>
      <c r="F7" s="114" t="s">
        <v>294</v>
      </c>
      <c r="G7" s="108"/>
      <c r="H7" s="108"/>
    </row>
    <row r="8">
      <c r="A8" s="100" t="str">
        <f>'Project Team'!A8</f>
        <v>Moeez</v>
      </c>
      <c r="B8" s="100" t="str">
        <f>'Project Team'!B8</f>
        <v>Abdul</v>
      </c>
      <c r="C8" s="110"/>
      <c r="D8" s="112"/>
      <c r="E8" s="113">
        <v>2.0</v>
      </c>
      <c r="F8" s="114" t="s">
        <v>295</v>
      </c>
      <c r="G8" s="105"/>
      <c r="H8" s="105"/>
    </row>
    <row r="9">
      <c r="A9" s="106" t="str">
        <f>'Project Team'!A9</f>
        <v>Thakur</v>
      </c>
      <c r="B9" s="106" t="str">
        <f>'Project Team'!B9</f>
        <v>Shikhar</v>
      </c>
      <c r="C9" s="110"/>
      <c r="D9" s="111"/>
      <c r="E9" s="113">
        <v>3.0</v>
      </c>
      <c r="F9" s="114" t="s">
        <v>296</v>
      </c>
      <c r="G9" s="108"/>
      <c r="H9" s="108"/>
    </row>
    <row r="10">
      <c r="A10" s="100" t="str">
        <f>'Project Team'!A10</f>
        <v>Dhruvin</v>
      </c>
      <c r="B10" s="100" t="str">
        <f>'Project Team'!B10</f>
        <v>Vekariya</v>
      </c>
      <c r="C10" s="110"/>
      <c r="D10" s="112"/>
      <c r="E10" s="113">
        <v>5.0</v>
      </c>
      <c r="F10" s="114" t="s">
        <v>297</v>
      </c>
      <c r="G10" s="105"/>
      <c r="H10" s="105"/>
    </row>
    <row r="11">
      <c r="A11" s="106"/>
      <c r="B11" s="106"/>
      <c r="C11" s="109"/>
      <c r="D11" s="111"/>
      <c r="E11" s="113">
        <v>8.0</v>
      </c>
      <c r="F11" s="114" t="s">
        <v>298</v>
      </c>
      <c r="G11" s="108"/>
      <c r="H11" s="108"/>
    </row>
    <row r="12">
      <c r="A12" s="100"/>
      <c r="B12" s="100"/>
      <c r="C12" s="109"/>
      <c r="D12" s="112"/>
      <c r="E12" s="113">
        <v>13.0</v>
      </c>
      <c r="F12" s="114" t="s">
        <v>299</v>
      </c>
      <c r="G12" s="105"/>
      <c r="H12" s="105"/>
    </row>
    <row r="13">
      <c r="A13" s="106"/>
      <c r="B13" s="106"/>
      <c r="C13" s="111"/>
      <c r="D13" s="111"/>
      <c r="E13" s="111"/>
      <c r="F13" s="111"/>
      <c r="G13" s="108"/>
      <c r="H13" s="108"/>
    </row>
    <row r="14">
      <c r="A14" s="115" t="s">
        <v>300</v>
      </c>
      <c r="B14" s="116"/>
      <c r="C14" s="116"/>
      <c r="D14" s="116"/>
      <c r="E14" s="116"/>
      <c r="F14" s="116"/>
      <c r="G14" s="116"/>
      <c r="H14" s="116"/>
    </row>
    <row r="15">
      <c r="A15" s="117"/>
      <c r="B15" s="117"/>
      <c r="C15" s="117"/>
      <c r="D15" s="117"/>
      <c r="E15" s="117"/>
      <c r="F15" s="117"/>
      <c r="G15" s="117"/>
      <c r="H15" s="117"/>
    </row>
    <row r="16">
      <c r="A16" s="118" t="s">
        <v>301</v>
      </c>
      <c r="B16" s="119"/>
      <c r="C16" s="119"/>
      <c r="D16" s="119"/>
      <c r="E16" s="119"/>
      <c r="F16" s="119"/>
      <c r="G16" s="119"/>
      <c r="H16" s="119"/>
    </row>
    <row r="17">
      <c r="A17" s="120" t="s">
        <v>302</v>
      </c>
      <c r="B17" s="117"/>
      <c r="C17" s="117"/>
      <c r="D17" s="117"/>
      <c r="E17" s="117"/>
      <c r="F17" s="117"/>
      <c r="G17" s="117"/>
      <c r="H17" s="117"/>
    </row>
    <row r="18">
      <c r="A18" s="118" t="s">
        <v>303</v>
      </c>
      <c r="B18" s="119"/>
      <c r="C18" s="119"/>
      <c r="D18" s="119"/>
      <c r="E18" s="119"/>
      <c r="F18" s="119"/>
      <c r="G18" s="119"/>
      <c r="H18" s="119"/>
    </row>
    <row r="19">
      <c r="A19" s="117"/>
      <c r="B19" s="117"/>
      <c r="C19" s="117"/>
      <c r="D19" s="117"/>
      <c r="E19" s="117"/>
      <c r="F19" s="117"/>
      <c r="G19" s="117"/>
      <c r="H19" s="117"/>
    </row>
    <row r="20">
      <c r="A20" s="119"/>
      <c r="B20" s="119"/>
      <c r="C20" s="119"/>
      <c r="D20" s="119"/>
      <c r="E20" s="119"/>
      <c r="F20" s="119"/>
      <c r="G20" s="119"/>
      <c r="H20" s="119"/>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3" max="13" width="24.75"/>
  </cols>
  <sheetData>
    <row r="1">
      <c r="A1" s="42" t="s">
        <v>139</v>
      </c>
      <c r="B1" s="4" t="s">
        <v>180</v>
      </c>
      <c r="C1" s="4" t="str">
        <f>"Average (" &amp; ROUND(AVERAGE(B2:B16), 0) &amp; " SP/s)"</f>
        <v>Average (17 SP/s)</v>
      </c>
      <c r="F1" s="45" t="s">
        <v>145</v>
      </c>
      <c r="G1" s="46" t="s">
        <v>146</v>
      </c>
      <c r="H1" s="47" t="s">
        <v>147</v>
      </c>
      <c r="I1" s="48" t="s">
        <v>148</v>
      </c>
      <c r="J1" s="48" t="s">
        <v>149</v>
      </c>
      <c r="K1" s="48" t="s">
        <v>150</v>
      </c>
      <c r="L1" s="48" t="s">
        <v>151</v>
      </c>
      <c r="M1" s="121" t="s">
        <v>304</v>
      </c>
    </row>
    <row r="2">
      <c r="A2" s="43">
        <v>1.0</v>
      </c>
      <c r="B2" s="43">
        <f>'Velocity Tracking'!B2</f>
        <v>1</v>
      </c>
      <c r="C2" s="122">
        <f t="shared" ref="C2:C16" si="1">AVERAGE($B$2:$B$16)</f>
        <v>16.75</v>
      </c>
      <c r="F2" s="49"/>
      <c r="G2" s="50"/>
      <c r="H2" s="51"/>
      <c r="I2" s="51"/>
      <c r="J2" s="51"/>
      <c r="K2" s="51"/>
      <c r="L2" s="51"/>
      <c r="M2" s="123"/>
    </row>
    <row r="3">
      <c r="A3" s="43">
        <f t="shared" ref="A3:A16" si="2">A2+1</f>
        <v>2</v>
      </c>
      <c r="B3" s="43">
        <f>'Velocity Tracking'!B3</f>
        <v>12</v>
      </c>
      <c r="C3" s="122">
        <f t="shared" si="1"/>
        <v>16.75</v>
      </c>
      <c r="F3" s="52" t="s">
        <v>152</v>
      </c>
      <c r="G3" s="53"/>
      <c r="H3" s="54"/>
      <c r="I3" s="54"/>
      <c r="J3" s="54"/>
      <c r="K3" s="54"/>
      <c r="L3" s="54"/>
      <c r="M3" s="124"/>
    </row>
    <row r="4">
      <c r="A4" s="43">
        <f t="shared" si="2"/>
        <v>3</v>
      </c>
      <c r="B4" s="43">
        <f>'Velocity Tracking'!B4</f>
        <v>18</v>
      </c>
      <c r="C4" s="122">
        <f t="shared" si="1"/>
        <v>16.75</v>
      </c>
      <c r="F4" s="49"/>
      <c r="G4" s="50"/>
      <c r="H4" s="51"/>
      <c r="I4" s="51"/>
      <c r="J4" s="51"/>
      <c r="K4" s="51"/>
      <c r="L4" s="51"/>
      <c r="M4" s="123"/>
    </row>
    <row r="5">
      <c r="A5" s="43">
        <f t="shared" si="2"/>
        <v>4</v>
      </c>
      <c r="B5" s="43">
        <f>'Velocity Tracking'!B5</f>
        <v>36</v>
      </c>
      <c r="C5" s="122">
        <f t="shared" si="1"/>
        <v>16.75</v>
      </c>
      <c r="F5" s="55" t="s">
        <v>153</v>
      </c>
      <c r="G5" s="56"/>
      <c r="H5" s="30"/>
      <c r="I5" s="57">
        <f>SUM(I8:I15)</f>
        <v>95</v>
      </c>
      <c r="J5" s="57">
        <f>I5</f>
        <v>95</v>
      </c>
      <c r="K5" s="30"/>
      <c r="L5" s="30"/>
      <c r="M5" s="125">
        <f>I5/6</f>
        <v>15.83333333</v>
      </c>
    </row>
    <row r="6">
      <c r="A6" s="43">
        <f t="shared" si="2"/>
        <v>5</v>
      </c>
      <c r="B6" s="43" t="str">
        <f>'Velocity Tracking'!B6</f>
        <v/>
      </c>
      <c r="C6" s="122">
        <f t="shared" si="1"/>
        <v>16.75</v>
      </c>
      <c r="F6" s="49"/>
      <c r="G6" s="50"/>
      <c r="H6" s="51"/>
      <c r="I6" s="51"/>
      <c r="J6" s="51"/>
      <c r="K6" s="51"/>
      <c r="L6" s="51"/>
      <c r="M6" s="123"/>
    </row>
    <row r="7">
      <c r="A7" s="43">
        <f t="shared" si="2"/>
        <v>6</v>
      </c>
      <c r="B7" s="43" t="str">
        <f>'Velocity Tracking'!B7</f>
        <v/>
      </c>
      <c r="C7" s="122">
        <f t="shared" si="1"/>
        <v>16.75</v>
      </c>
      <c r="F7" s="58" t="s">
        <v>154</v>
      </c>
      <c r="G7" s="59"/>
      <c r="H7" s="60"/>
      <c r="I7" s="60"/>
      <c r="J7" s="60"/>
      <c r="K7" s="60"/>
      <c r="L7" s="60"/>
      <c r="M7" s="126"/>
    </row>
    <row r="8">
      <c r="A8" s="43">
        <f t="shared" si="2"/>
        <v>7</v>
      </c>
      <c r="B8" s="43" t="str">
        <f>'Velocity Tracking'!B8</f>
        <v/>
      </c>
      <c r="C8" s="122">
        <f t="shared" si="1"/>
        <v>16.75</v>
      </c>
      <c r="F8" s="61" t="s">
        <v>154</v>
      </c>
      <c r="G8" s="50"/>
      <c r="H8" s="51"/>
      <c r="I8" s="51"/>
      <c r="J8" s="62" t="s">
        <v>149</v>
      </c>
      <c r="K8" s="51"/>
      <c r="L8" s="62" t="s">
        <v>151</v>
      </c>
      <c r="M8" s="127" t="str">
        <f>"Development Speed (≈" &amp; ROUND(M5, 0) &amp; " SP/s)"</f>
        <v>Development Speed (≈16 SP/s)</v>
      </c>
    </row>
    <row r="9">
      <c r="A9" s="43">
        <f t="shared" si="2"/>
        <v>8</v>
      </c>
      <c r="B9" s="43" t="str">
        <f>'Velocity Tracking'!B9</f>
        <v/>
      </c>
      <c r="C9" s="122">
        <f t="shared" si="1"/>
        <v>16.75</v>
      </c>
      <c r="F9" s="63">
        <v>1.0</v>
      </c>
      <c r="G9" s="55"/>
      <c r="H9" s="30"/>
      <c r="I9" s="57">
        <f>'Mid-Project Release plan'!D9</f>
        <v>1</v>
      </c>
      <c r="J9" s="57">
        <f>'Mid-Project Release plan'!E9</f>
        <v>95</v>
      </c>
      <c r="K9" s="57">
        <f>'Mid-Project Release plan'!F9</f>
        <v>1</v>
      </c>
      <c r="L9" s="57">
        <f>'Mid-Project Release plan'!G9</f>
        <v>95</v>
      </c>
      <c r="M9" s="128">
        <f>$I$5</f>
        <v>95</v>
      </c>
    </row>
    <row r="10">
      <c r="A10" s="43">
        <f t="shared" si="2"/>
        <v>9</v>
      </c>
      <c r="B10" s="43" t="str">
        <f>'Velocity Tracking'!B10</f>
        <v/>
      </c>
      <c r="C10" s="122">
        <f t="shared" si="1"/>
        <v>16.75</v>
      </c>
      <c r="F10" s="49">
        <f t="shared" ref="F10:F11" si="3">F9+1</f>
        <v>2</v>
      </c>
      <c r="G10" s="50"/>
      <c r="H10" s="51"/>
      <c r="I10" s="57">
        <f>'Mid-Project Release plan'!D10</f>
        <v>16</v>
      </c>
      <c r="J10" s="57">
        <f>'Mid-Project Release plan'!E10</f>
        <v>94</v>
      </c>
      <c r="K10" s="57">
        <f>'Mid-Project Release plan'!F10</f>
        <v>12</v>
      </c>
      <c r="L10" s="57">
        <f>'Mid-Project Release plan'!G10</f>
        <v>94</v>
      </c>
      <c r="M10" s="128">
        <f t="shared" ref="M10:M15" si="4">M9-$M$5</f>
        <v>79.16666667</v>
      </c>
    </row>
    <row r="11">
      <c r="A11" s="43">
        <f t="shared" si="2"/>
        <v>10</v>
      </c>
      <c r="B11" s="43" t="str">
        <f>'Velocity Tracking'!B11</f>
        <v/>
      </c>
      <c r="C11" s="122">
        <f t="shared" si="1"/>
        <v>16.75</v>
      </c>
      <c r="F11" s="63">
        <f t="shared" si="3"/>
        <v>3</v>
      </c>
      <c r="G11" s="55"/>
      <c r="H11" s="30"/>
      <c r="I11" s="57">
        <f>'Mid-Project Release plan'!D11</f>
        <v>19</v>
      </c>
      <c r="J11" s="57">
        <f>'Mid-Project Release plan'!E11</f>
        <v>78</v>
      </c>
      <c r="K11" s="57">
        <f>'Mid-Project Release plan'!F11</f>
        <v>18</v>
      </c>
      <c r="L11" s="57">
        <f>'Mid-Project Release plan'!G11</f>
        <v>82</v>
      </c>
      <c r="M11" s="128">
        <f t="shared" si="4"/>
        <v>63.33333333</v>
      </c>
    </row>
    <row r="12">
      <c r="A12" s="43">
        <f t="shared" si="2"/>
        <v>11</v>
      </c>
      <c r="B12" s="43" t="str">
        <f>'Velocity Tracking'!B12</f>
        <v/>
      </c>
      <c r="C12" s="122">
        <f t="shared" si="1"/>
        <v>16.75</v>
      </c>
      <c r="F12" s="65">
        <v>4.0</v>
      </c>
      <c r="G12" s="66"/>
      <c r="H12" s="51"/>
      <c r="I12" s="57">
        <f>'Mid-Project Release plan'!D12</f>
        <v>30</v>
      </c>
      <c r="J12" s="57">
        <f>'Mid-Project Release plan'!E12</f>
        <v>59</v>
      </c>
      <c r="K12" s="57">
        <f>'Mid-Project Release plan'!F12</f>
        <v>36</v>
      </c>
      <c r="L12" s="57">
        <f>'Mid-Project Release plan'!G12</f>
        <v>64</v>
      </c>
      <c r="M12" s="128">
        <f t="shared" si="4"/>
        <v>47.5</v>
      </c>
    </row>
    <row r="13">
      <c r="A13" s="43">
        <f t="shared" si="2"/>
        <v>12</v>
      </c>
      <c r="B13" s="43" t="str">
        <f>'Velocity Tracking'!B13</f>
        <v/>
      </c>
      <c r="C13" s="122">
        <f t="shared" si="1"/>
        <v>16.75</v>
      </c>
      <c r="F13" s="67">
        <v>5.0</v>
      </c>
      <c r="G13" s="55"/>
      <c r="H13" s="30"/>
      <c r="I13" s="57">
        <f>'Mid-Project Release plan'!D13</f>
        <v>29</v>
      </c>
      <c r="J13" s="57">
        <f>'Mid-Project Release plan'!E13</f>
        <v>29</v>
      </c>
      <c r="K13" s="57">
        <f>'Mid-Project Release plan'!F13</f>
        <v>0</v>
      </c>
      <c r="L13" s="57">
        <f>'Mid-Project Release plan'!G13</f>
        <v>28</v>
      </c>
      <c r="M13" s="128">
        <f t="shared" si="4"/>
        <v>31.66666667</v>
      </c>
    </row>
    <row r="14">
      <c r="A14" s="43">
        <f t="shared" si="2"/>
        <v>13</v>
      </c>
      <c r="B14" s="43" t="str">
        <f>'Velocity Tracking'!B14</f>
        <v/>
      </c>
      <c r="C14" s="122">
        <f t="shared" si="1"/>
        <v>16.75</v>
      </c>
      <c r="F14" s="68">
        <v>6.0</v>
      </c>
      <c r="I14" s="57">
        <f>'Mid-Project Release plan'!D14</f>
        <v>0</v>
      </c>
      <c r="J14" s="57">
        <f>'Mid-Project Release plan'!E14</f>
        <v>0</v>
      </c>
      <c r="K14" s="57">
        <f>'Mid-Project Release plan'!F14</f>
        <v>0</v>
      </c>
      <c r="L14" s="57">
        <f>'Mid-Project Release plan'!G14</f>
        <v>28</v>
      </c>
      <c r="M14" s="128">
        <f t="shared" si="4"/>
        <v>15.83333333</v>
      </c>
    </row>
    <row r="15">
      <c r="A15" s="43">
        <f t="shared" si="2"/>
        <v>14</v>
      </c>
      <c r="B15" s="43" t="str">
        <f>'Velocity Tracking'!B15</f>
        <v/>
      </c>
      <c r="C15" s="122">
        <f t="shared" si="1"/>
        <v>16.75</v>
      </c>
      <c r="F15" s="43"/>
      <c r="G15" s="3"/>
      <c r="H15" s="3"/>
      <c r="I15" s="57" t="str">
        <f>'Mid-Project Release plan'!D15</f>
        <v/>
      </c>
      <c r="J15" s="57" t="str">
        <f>'Mid-Project Release plan'!E15</f>
        <v/>
      </c>
      <c r="K15" s="57" t="str">
        <f>'Mid-Project Release plan'!F15</f>
        <v/>
      </c>
      <c r="L15" s="57" t="str">
        <f>'Mid-Project Release plan'!G15</f>
        <v/>
      </c>
      <c r="M15" s="128">
        <f t="shared" si="4"/>
        <v>0</v>
      </c>
    </row>
    <row r="16">
      <c r="A16" s="43">
        <f t="shared" si="2"/>
        <v>15</v>
      </c>
      <c r="B16" s="43" t="str">
        <f>'Velocity Tracking'!B16</f>
        <v/>
      </c>
      <c r="C16" s="122">
        <f t="shared" si="1"/>
        <v>16.75</v>
      </c>
    </row>
  </sheetData>
  <drawing r:id="rId1"/>
  <tableParts count="2">
    <tablePart r:id="rId4"/>
    <tablePart r:id="rId5"/>
  </tableParts>
</worksheet>
</file>