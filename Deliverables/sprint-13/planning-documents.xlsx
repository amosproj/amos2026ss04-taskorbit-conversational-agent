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 state="hidden" name="Bill of Materials (Old)" sheetId="19" r:id="rId22"/>
  </sheets>
  <definedNames/>
  <calcPr/>
</workbook>
</file>

<file path=xl/sharedStrings.xml><?xml version="1.0" encoding="utf-8"?>
<sst xmlns="http://schemas.openxmlformats.org/spreadsheetml/2006/main" count="1657" uniqueCount="802">
  <si>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</si>
  <si>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</si>
  <si>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</si>
  <si>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</si>
  <si>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</si>
  <si>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</si>
  <si>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</si>
  <si>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</si>
  <si>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</si>
  <si>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</si>
  <si>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</si>
  <si>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</si>
  <si>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</si>
  <si>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</si>
  <si>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</si>
  <si>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</si>
  <si>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</si>
  <si>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</si>
  <si>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</si>
  <si>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</si>
  <si>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</si>
  <si>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</si>
  <si>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</si>
  <si>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</si>
  <si>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</si>
  <si>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</si>
  <si>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</si>
  <si>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</si>
  <si>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Qiblataina</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</si>
  <si>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</si>
  <si>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</si>
  <si>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</si>
  <si>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</si>
  <si>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</si>
  <si>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</si>
  <si>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</si>
  <si>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</si>
  <si>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</si>
  <si>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</si>
  <si>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</si>
  <si>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</si>
  <si>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</si>
  <si>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</si>
  <si>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</si>
  <si>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</si>
  <si>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</si>
  <si>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</si>
  <si>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</si>
  <si>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</si>
  <si>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</si>
  <si>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</si>
  <si>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</si>
  <si>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</si>
  <si>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</si>
  <si>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</si>
  <si>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</si>
  <si>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</si>
  <si>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</si>
  <si>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</si>
  <si>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</si>
  <si>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</si>
  <si>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</si>
  <si>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</si>
  <si>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</si>
  <si>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</si>
  <si>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</si>
  <si>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</si>
  <si>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</si>
  <si>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</si>
  <si>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</si>
  <si>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</si>
  <si>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</si>
  <si>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</si>
  <si>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</si>
  <si>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</si>
  <si>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</si>
  <si>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</si>
  <si>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</si>
  <si>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</si>
  <si>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</si>
  <si>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Qiblatain</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</si>
  <si>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</si>
  <si>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</si>
  <si>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</si>
  <si>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</si>
  <si>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</si>
  <si>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</si>
  <si>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</si>
  <si>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</si>
  <si>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</si>
  <si>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</si>
  <si>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</si>
  <si>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</si>
  <si>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</si>
  <si>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</si>
  <si>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</si>
  <si>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</si>
  <si>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</si>
  <si>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</si>
  <si>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</si>
  <si>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</si>
  <si>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</si>
  <si>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</si>
  <si>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</si>
  <si>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</si>
  <si>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</si>
  <si>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</si>
  <si>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</si>
  <si>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</si>
  <si>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</si>
  <si>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</si>
  <si>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</si>
  <si>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</si>
  <si>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</si>
  <si>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</si>
  <si>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</si>
  <si>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</si>
  <si>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</si>
  <si>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</si>
  <si>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</si>
  <si>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</si>
  <si>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</si>
  <si>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</si>
  <si>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</si>
  <si>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</si>
  <si>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</si>
  <si>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</si>
  <si>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</si>
  <si>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</si>
  <si>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</si>
  <si>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</si>
  <si>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</si>
  <si>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</si>
  <si>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</si>
  <si>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</si>
  <si>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</si>
  <si>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Agent Persona</t>
  </si>
  <si>
    <t>The behavioral guidelines assigned to an agent to ensure it interacts appropriately with the user based on its specific task</t>
  </si>
  <si>
    <t>Agent Hand-off</t>
  </si>
  <si>
    <t>The seamless transfer of the conversation from one specialized agent to another when the user's request shifts to a different topic</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</si>
  <si>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</si>
  <si>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</si>
  <si>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</si>
  <si>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</si>
  <si>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</si>
  <si>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</si>
  <si>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</si>
  <si>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</si>
  <si>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Inference Server</t>
  </si>
  <si>
    <t>The dedicated cloud infrastructure hosting self-hosted, open-source LLMs for TaskOrbit to ensure independent processing</t>
  </si>
  <si>
    <t>Workflow Engine</t>
  </si>
  <si>
    <t>The core backend component that manages the state, routing, and execution sequence of complex, multi-step tasks across different agents</t>
  </si>
  <si>
    <t>Benchmark</t>
  </si>
  <si>
    <t>A test execution focused primarily on measuring E2E latency across different system configurations to identify the fastest processing variants</t>
  </si>
  <si>
    <t>Guardrails</t>
  </si>
  <si>
    <t>Safety and policy constraints implemented within the agent workflow to control and filter LLM outputs, ensuring responses stay within scope</t>
  </si>
  <si>
    <t>Prerequisite Step</t>
  </si>
  <si>
    <t>A mandatory preceding agent or task that must be executed or completed before the current agent can be activated</t>
  </si>
  <si>
    <t>Allowed Handoff</t>
  </si>
  <si>
    <t>A predefined, permitted path that specifies which other specialized agents the current agent is authorized to transfer the conversation to</t>
  </si>
  <si>
    <t>Conditional Prerequisite</t>
  </si>
  <si>
    <t>A dynamic workflow rule where preceding agents are determined on-the-fly based on the routed intent of the user -&gt; overriding static steps</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</si>
  <si>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</si>
  <si>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</si>
  <si>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</si>
  <si>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</si>
  <si>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</si>
  <si>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</si>
  <si>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</si>
  <si>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&amp; Unified Processing</t>
  </si>
  <si>
    <t>Open-Source Model Integration  &amp; Evaluation Framework</t>
  </si>
  <si>
    <t>System Hardening &amp; Benchmarking</t>
  </si>
  <si>
    <t>Polishing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</si>
  <si>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</si>
  <si>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</si>
  <si>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</si>
  <si>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</si>
  <si>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</si>
  <si>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</si>
  <si>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</si>
  <si>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</si>
  <si>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</si>
  <si>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</si>
  <si>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</si>
  <si>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</si>
  <si>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</si>
  <si>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</si>
  <si>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</si>
  <si>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</si>
  <si>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</si>
  <si>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</si>
  <si>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</si>
  <si>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</si>
  <si>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</si>
  <si>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</si>
  <si>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</si>
  <si>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</si>
  <si>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</si>
  <si>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</si>
  <si>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</si>
  <si>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</si>
  <si>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</si>
  <si>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</si>
  <si>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</si>
  <si>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</si>
  <si>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</si>
  <si>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</si>
  <si>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</si>
  <si>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</si>
  <si>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</si>
  <si>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</si>
  <si>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</si>
  <si>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</si>
  <si>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</si>
  <si>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</si>
  <si>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</si>
  <si>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</si>
  <si>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</si>
  <si>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</si>
  <si>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</si>
  <si>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</si>
  <si>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</si>
  <si>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</si>
  <si>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</si>
  <si>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</si>
  <si>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</si>
  <si>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</si>
  <si>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</si>
  <si>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</si>
  <si>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</si>
  <si>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Interchangeable Model Selection #135</t>
  </si>
  <si>
    <t>Mute Agent Output #107</t>
  </si>
  <si>
    <t>Custom Agent Routing #129</t>
  </si>
  <si>
    <t>Cloud Open Source Inference Server #67</t>
  </si>
  <si>
    <t>Benchmarking Environment #86</t>
  </si>
  <si>
    <t>Investigate high API usage rate #151</t>
  </si>
  <si>
    <t>Voice detection does not terminate #153</t>
  </si>
  <si>
    <t>Greeting message not showing up in the conversation history #164</t>
  </si>
  <si>
    <t>Unplanned critical bug</t>
  </si>
  <si>
    <t>LLM Streaming frontend integration #162</t>
  </si>
  <si>
    <t>Component Benchmarking #68</t>
  </si>
  <si>
    <t>Grafana OS Model Monitoring integration #139</t>
  </si>
  <si>
    <t>Self-Hosted LLM Inference on GCP #160</t>
  </si>
  <si>
    <t>Email transcription issue #169</t>
  </si>
  <si>
    <t>Agent Guadrails need to be added #168</t>
  </si>
  <si>
    <t>fix: resolve Gemini intent routing and harden API security #177</t>
  </si>
  <si>
    <t>Demo Video #187</t>
  </si>
  <si>
    <t>Was not presented</t>
  </si>
  <si>
    <t>UI Clean Up #181</t>
  </si>
  <si>
    <t xml:space="preserve">SBOM Automation &amp; Legal Notices UI #138 </t>
  </si>
  <si>
    <t xml:space="preserve">ElevenLabs and Deepgram provider switching is unreliable #166 </t>
  </si>
  <si>
    <t>Some LLM providers are not functioning reliably #197</t>
  </si>
  <si>
    <t>Allow User to delete History Sessions #191</t>
  </si>
  <si>
    <t>Consistent data extraction from the conversation and showing in history #159 &amp; 183</t>
  </si>
  <si>
    <t>Finalize user, (technical) design and build/deploy documentation #182</t>
  </si>
  <si>
    <t>Dropdown menu for agent handoffs #203</t>
  </si>
  <si>
    <t>Final Repository &amp; Readme Clean up #204</t>
  </si>
  <si>
    <t>LiveKit "not configured" in Production #213</t>
  </si>
  <si>
    <t>Dynamic Critical Action Confirmation #143</t>
  </si>
  <si>
    <t>Agent Transfer/Handoff not working #212</t>
  </si>
  <si>
    <t>Grafana Backend Logs not displayed correctly #210</t>
  </si>
  <si>
    <t>Custom Agents not selectable in Conditional Workflow #214</t>
  </si>
  <si>
    <t>Canceled:</t>
  </si>
  <si>
    <t>Support Markdown formatting in Chat UI #165</t>
  </si>
  <si>
    <t>Visuals &amp; Fallback for external API Outages #150</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</si>
  <si>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</si>
  <si>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</si>
  <si>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</si>
  <si>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</si>
  <si>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</si>
  <si>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</si>
  <si>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</si>
  <si>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</si>
  <si>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</si>
  <si>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</si>
  <si>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</si>
  <si>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</si>
  <si>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</si>
  <si>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</si>
  <si>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</si>
  <si>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</si>
  <si>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</si>
  <si>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</si>
  <si>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</si>
  <si>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</si>
  <si>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</si>
  <si>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</si>
  <si>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</si>
  <si>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Wiki</t>
  </si>
  <si>
    <t>https://github.com/amosproj/amos2026ss04-taskorbit-conversational-agent/wiki</t>
  </si>
  <si>
    <t>Repository Documentation</t>
  </si>
  <si>
    <t>https://github.com/amosproj/amos2026ss04-taskorbit-conversational-agent/tree/main/Documentation</t>
  </si>
  <si>
    <t>Deliverables</t>
  </si>
  <si>
    <t>https://github.com/amosproj/amos2026ss04-taskorbit-conversational-agent/tree/main/Deliverables</t>
  </si>
  <si>
    <t>Readme &amp; Repository</t>
  </si>
  <si>
    <t>Context</t>
  </si>
  <si>
    <t>Name</t>
  </si>
  <si>
    <t>Version</t>
  </si>
  <si>
    <t>License</t>
  </si>
  <si>
    <t>Tool: Syft · deps as of 2026-07-02 (last lockfile change)</t>
  </si>
  <si>
    <t>npm</t>
  </si>
  <si>
    <t>@bufbuild/protobuf</t>
  </si>
  <si>
    <t>1.10.1</t>
  </si>
  <si>
    <t>Apache-2.0 AND BSD-3-Clause</t>
  </si>
  <si>
    <t>@floating-ui/core</t>
  </si>
  <si>
    <t>1.7.5</t>
  </si>
  <si>
    <t>MIT</t>
  </si>
  <si>
    <t>@floating-ui/dom</t>
  </si>
  <si>
    <t>1.7.4</t>
  </si>
  <si>
    <t>1.7.6</t>
  </si>
  <si>
    <t>@floating-ui/react-dom</t>
  </si>
  <si>
    <t>2.1.8</t>
  </si>
  <si>
    <t>@floating-ui/utils</t>
  </si>
  <si>
    <t>0.2.11</t>
  </si>
  <si>
    <t>@livekit/components-core</t>
  </si>
  <si>
    <t>0.12.13</t>
  </si>
  <si>
    <t>Apache-2.0</t>
  </si>
  <si>
    <t>@livekit/components-react</t>
  </si>
  <si>
    <t>2.9.20</t>
  </si>
  <si>
    <t>@livekit/components-styles</t>
  </si>
  <si>
    <t>1.2.0</t>
  </si>
  <si>
    <t>@livekit/mutex</t>
  </si>
  <si>
    <t>1.1.1</t>
  </si>
  <si>
    <t>@livekit/protocol</t>
  </si>
  <si>
    <t>1.45.3</t>
  </si>
  <si>
    <t>@radix-ui/number</t>
  </si>
  <si>
    <t>@radix-ui/primitive</t>
  </si>
  <si>
    <t>1.1.3</t>
  </si>
  <si>
    <t>1.1.4</t>
  </si>
  <si>
    <t>@radix-ui/react-accessible-icon</t>
  </si>
  <si>
    <t>1.1.7</t>
  </si>
  <si>
    <t>@radix-ui/react-accordion</t>
  </si>
  <si>
    <t>1.2.12</t>
  </si>
  <si>
    <t>@radix-ui/react-alert-dialog</t>
  </si>
  <si>
    <t>1.1.15</t>
  </si>
  <si>
    <t>1.1.18</t>
  </si>
  <si>
    <t>@radix-ui/react-arrow</t>
  </si>
  <si>
    <t>@radix-ui/react-aspect-ratio</t>
  </si>
  <si>
    <t>@radix-ui/react-avatar</t>
  </si>
  <si>
    <t>1.1.10</t>
  </si>
  <si>
    <t>@radix-ui/react-checkbox</t>
  </si>
  <si>
    <t>1.3.3</t>
  </si>
  <si>
    <t>@radix-ui/react-collapsible</t>
  </si>
  <si>
    <t>1.1.12</t>
  </si>
  <si>
    <t>@radix-ui/react-collection</t>
  </si>
  <si>
    <t>@radix-ui/react-compose-refs</t>
  </si>
  <si>
    <t>1.1.2</t>
  </si>
  <si>
    <t>@radix-ui/react-context</t>
  </si>
  <si>
    <t>@radix-ui/react-context-menu</t>
  </si>
  <si>
    <t>2.2.16</t>
  </si>
  <si>
    <t>@radix-ui/react-dialog</t>
  </si>
  <si>
    <t>@radix-ui/react-direction</t>
  </si>
  <si>
    <t>@radix-ui/react-dismissable-layer</t>
  </si>
  <si>
    <t>1.1.11</t>
  </si>
  <si>
    <t>1.1.14</t>
  </si>
  <si>
    <t>@radix-ui/react-dropdown-menu</t>
  </si>
  <si>
    <t>2.1.16</t>
  </si>
  <si>
    <t>@radix-ui/react-focus-guards</t>
  </si>
  <si>
    <t>@radix-ui/react-focus-scope</t>
  </si>
  <si>
    <t>@radix-ui/react-form</t>
  </si>
  <si>
    <t>0.1.8</t>
  </si>
  <si>
    <t>@radix-ui/react-hover-card</t>
  </si>
  <si>
    <t>@radix-ui/react-id</t>
  </si>
  <si>
    <t>@radix-ui/react-label</t>
  </si>
  <si>
    <t>2.1.7</t>
  </si>
  <si>
    <t>@radix-ui/react-menu</t>
  </si>
  <si>
    <t>@radix-ui/react-menubar</t>
  </si>
  <si>
    <t>1.1.16</t>
  </si>
  <si>
    <t>@radix-ui/react-navigation-menu</t>
  </si>
  <si>
    <t>1.2.14</t>
  </si>
  <si>
    <t>@radix-ui/react-one-time-password-field</t>
  </si>
  <si>
    <t>@radix-ui/react-password-toggle-field</t>
  </si>
  <si>
    <t>0.1.3</t>
  </si>
  <si>
    <t>@radix-ui/react-popover</t>
  </si>
  <si>
    <t>@radix-ui/react-popper</t>
  </si>
  <si>
    <t>1.2.8</t>
  </si>
  <si>
    <t>@radix-ui/react-portal</t>
  </si>
  <si>
    <t>1.1.13</t>
  </si>
  <si>
    <t>1.1.9</t>
  </si>
  <si>
    <t>@radix-ui/react-presence</t>
  </si>
  <si>
    <t>1.1.5</t>
  </si>
  <si>
    <t>1.1.6</t>
  </si>
  <si>
    <t>@radix-ui/react-primitive</t>
  </si>
  <si>
    <t>2.1.3</t>
  </si>
  <si>
    <t>@radix-ui/react-progress</t>
  </si>
  <si>
    <t>@radix-ui/react-radio-group</t>
  </si>
  <si>
    <t>1.3.8</t>
  </si>
  <si>
    <t>@radix-ui/react-roving-focus</t>
  </si>
  <si>
    <t>@radix-ui/react-scroll-area</t>
  </si>
  <si>
    <t>1.2.10</t>
  </si>
  <si>
    <t>@radix-ui/react-select</t>
  </si>
  <si>
    <t>2.2.6</t>
  </si>
  <si>
    <t>@radix-ui/react-separator</t>
  </si>
  <si>
    <t>@radix-ui/react-slider</t>
  </si>
  <si>
    <t>1.3.6</t>
  </si>
  <si>
    <t>@radix-ui/react-slot</t>
  </si>
  <si>
    <t>1.2.3</t>
  </si>
  <si>
    <t>1.3.0</t>
  </si>
  <si>
    <t>@radix-ui/react-switch</t>
  </si>
  <si>
    <t>1.2.6</t>
  </si>
  <si>
    <t>@radix-ui/react-tabs</t>
  </si>
  <si>
    <t>@radix-ui/react-toast</t>
  </si>
  <si>
    <t>1.2.15</t>
  </si>
  <si>
    <t>@radix-ui/react-toggle</t>
  </si>
  <si>
    <t>@radix-ui/react-toggle-group</t>
  </si>
  <si>
    <t>@radix-ui/react-toolbar</t>
  </si>
  <si>
    <t>@radix-ui/react-tooltip</t>
  </si>
  <si>
    <t>@radix-ui/react-use-callback-ref</t>
  </si>
  <si>
    <t>@radix-ui/react-use-controllable-state</t>
  </si>
  <si>
    <t>1.2.2</t>
  </si>
  <si>
    <t>@radix-ui/react-use-effect-event</t>
  </si>
  <si>
    <t>0.0.2</t>
  </si>
  <si>
    <t>0.0.3</t>
  </si>
  <si>
    <t>@radix-ui/react-use-escape-keydown</t>
  </si>
  <si>
    <t>@radix-ui/react-use-is-hydrated</t>
  </si>
  <si>
    <t>0.1.0</t>
  </si>
  <si>
    <t>@radix-ui/react-use-layout-effect</t>
  </si>
  <si>
    <t>@radix-ui/react-use-previous</t>
  </si>
  <si>
    <t>@radix-ui/react-use-rect</t>
  </si>
  <si>
    <t>@radix-ui/react-use-size</t>
  </si>
  <si>
    <t>@radix-ui/react-visually-hidden</t>
  </si>
  <si>
    <t>@radix-ui/rect</t>
  </si>
  <si>
    <t>@types/dom-mediacapture-record</t>
  </si>
  <si>
    <t>1.0.22</t>
  </si>
  <si>
    <t>@types/react</t>
  </si>
  <si>
    <t>19.2.14</t>
  </si>
  <si>
    <t>@types/react-dom</t>
  </si>
  <si>
    <t>19.2.3</t>
  </si>
  <si>
    <t>aria-hidden</t>
  </si>
  <si>
    <t>class-variance-authority</t>
  </si>
  <si>
    <t>0.7.1</t>
  </si>
  <si>
    <t>clsx</t>
  </si>
  <si>
    <t>2.1.1</t>
  </si>
  <si>
    <t>cookie</t>
  </si>
  <si>
    <t>csstype</t>
  </si>
  <si>
    <t>3.2.3</t>
  </si>
  <si>
    <t>detect-node-es</t>
  </si>
  <si>
    <t>1.1.0</t>
  </si>
  <si>
    <t>events</t>
  </si>
  <si>
    <t>3.3.0</t>
  </si>
  <si>
    <t>get-nonce</t>
  </si>
  <si>
    <t>1.0.1</t>
  </si>
  <si>
    <t>jose</t>
  </si>
  <si>
    <t>6.2.2</t>
  </si>
  <si>
    <t>livekit-client</t>
  </si>
  <si>
    <t>2.18.6</t>
  </si>
  <si>
    <t>lodash.debounce</t>
  </si>
  <si>
    <t>4.0.8</t>
  </si>
  <si>
    <t>loglevel</t>
  </si>
  <si>
    <t>1.9.1</t>
  </si>
  <si>
    <t>1.9.2</t>
  </si>
  <si>
    <t>lucide-react</t>
  </si>
  <si>
    <t>0.460.0</t>
  </si>
  <si>
    <t>ISC</t>
  </si>
  <si>
    <t>next-themes</t>
  </si>
  <si>
    <t>0.4.6</t>
  </si>
  <si>
    <t>radix-ui</t>
  </si>
  <si>
    <t>1.4.3</t>
  </si>
  <si>
    <t>react</t>
  </si>
  <si>
    <t>19.2.5</t>
  </si>
  <si>
    <t>react-dom</t>
  </si>
  <si>
    <t>react-remove-scroll</t>
  </si>
  <si>
    <t>2.7.2</t>
  </si>
  <si>
    <t>react-remove-scroll-bar</t>
  </si>
  <si>
    <t>2.3.8</t>
  </si>
  <si>
    <t>react-router</t>
  </si>
  <si>
    <t>7.14.2</t>
  </si>
  <si>
    <t>react-router-dom</t>
  </si>
  <si>
    <t>react-style-singleton</t>
  </si>
  <si>
    <t>2.2.3</t>
  </si>
  <si>
    <t>rxjs</t>
  </si>
  <si>
    <t>7.8.2</t>
  </si>
  <si>
    <t>scheduler</t>
  </si>
  <si>
    <t>0.27.0</t>
  </si>
  <si>
    <t>sdp</t>
  </si>
  <si>
    <t>3.2.2</t>
  </si>
  <si>
    <t>sdp-transform</t>
  </si>
  <si>
    <t>2.15.0</t>
  </si>
  <si>
    <t>set-cookie-parser</t>
  </si>
  <si>
    <t>sonner</t>
  </si>
  <si>
    <t>2.0.7</t>
  </si>
  <si>
    <t>tailwind-merge</t>
  </si>
  <si>
    <t>2.6.1</t>
  </si>
  <si>
    <t>taskorbit-frontend</t>
  </si>
  <si>
    <t>UNKNOWN</t>
  </si>
  <si>
    <t>tslib</t>
  </si>
  <si>
    <t>2.8.1</t>
  </si>
  <si>
    <t>0BSD</t>
  </si>
  <si>
    <t>typed-emitter</t>
  </si>
  <si>
    <t>2.1.0</t>
  </si>
  <si>
    <t>use-callback-ref</t>
  </si>
  <si>
    <t>use-sidecar</t>
  </si>
  <si>
    <t>use-sync-external-store</t>
  </si>
  <si>
    <t>1.6.0</t>
  </si>
  <si>
    <t>usehooks-ts</t>
  </si>
  <si>
    <t>3.1.1</t>
  </si>
  <si>
    <t>webrtc-adapter</t>
  </si>
  <si>
    <t>9.0.5</t>
  </si>
  <si>
    <t>BSD-3-Clause</t>
  </si>
  <si>
    <t>python</t>
  </si>
  <si>
    <t>aiofiles</t>
  </si>
  <si>
    <t>25.1.0</t>
  </si>
  <si>
    <t>aiohappyeyeballs</t>
  </si>
  <si>
    <t>aiohttp</t>
  </si>
  <si>
    <t>3.13.5</t>
  </si>
  <si>
    <t>aiosignal</t>
  </si>
  <si>
    <t>1.4.0</t>
  </si>
  <si>
    <t>aiosqlite</t>
  </si>
  <si>
    <t>0.22.1</t>
  </si>
  <si>
    <t>alembic</t>
  </si>
  <si>
    <t>1.18.4</t>
  </si>
  <si>
    <t>annotated-doc</t>
  </si>
  <si>
    <t>0.0.4</t>
  </si>
  <si>
    <t>annotated-types</t>
  </si>
  <si>
    <t>0.7.0</t>
  </si>
  <si>
    <t>anyio</t>
  </si>
  <si>
    <t>4.13.0</t>
  </si>
  <si>
    <t>attrs</t>
  </si>
  <si>
    <t>26.1.0</t>
  </si>
  <si>
    <t>av</t>
  </si>
  <si>
    <t>17.0.1</t>
  </si>
  <si>
    <t>certifi</t>
  </si>
  <si>
    <t>2026.4.22</t>
  </si>
  <si>
    <t>cffi</t>
  </si>
  <si>
    <t>2.0.0</t>
  </si>
  <si>
    <t>cfgv</t>
  </si>
  <si>
    <t>3.5.0</t>
  </si>
  <si>
    <t>charset-normalizer</t>
  </si>
  <si>
    <t>3.4.7</t>
  </si>
  <si>
    <t>click</t>
  </si>
  <si>
    <t>8.3.3</t>
  </si>
  <si>
    <t>colorama</t>
  </si>
  <si>
    <t>cryptography</t>
  </si>
  <si>
    <t>47.0.0</t>
  </si>
  <si>
    <t>distlib</t>
  </si>
  <si>
    <t>0.4.0</t>
  </si>
  <si>
    <t>distro</t>
  </si>
  <si>
    <t>1.9.0</t>
  </si>
  <si>
    <t>docstring-parser</t>
  </si>
  <si>
    <t>0.18.0</t>
  </si>
  <si>
    <t>eval-type-backport</t>
  </si>
  <si>
    <t>0.3.1</t>
  </si>
  <si>
    <t>fastapi</t>
  </si>
  <si>
    <t>0.115.14</t>
  </si>
  <si>
    <t>filelock</t>
  </si>
  <si>
    <t>3.29.0</t>
  </si>
  <si>
    <t>flatbuffers</t>
  </si>
  <si>
    <t>25.12.19</t>
  </si>
  <si>
    <t>frozenlist</t>
  </si>
  <si>
    <t>1.8.0</t>
  </si>
  <si>
    <t>google-api-core</t>
  </si>
  <si>
    <t>2.30.3</t>
  </si>
  <si>
    <t>google-auth</t>
  </si>
  <si>
    <t>2.49.2</t>
  </si>
  <si>
    <t>google-cloud-speech</t>
  </si>
  <si>
    <t>2.38.0</t>
  </si>
  <si>
    <t>google-cloud-texttospeech</t>
  </si>
  <si>
    <t>2.36.0</t>
  </si>
  <si>
    <t>google-genai</t>
  </si>
  <si>
    <t>1.73.1</t>
  </si>
  <si>
    <t>googleapis-common-protos</t>
  </si>
  <si>
    <t>1.74.0</t>
  </si>
  <si>
    <t>greenlet</t>
  </si>
  <si>
    <t>3.5.1</t>
  </si>
  <si>
    <t>grpcio</t>
  </si>
  <si>
    <t>1.80.0</t>
  </si>
  <si>
    <t>grpcio-status</t>
  </si>
  <si>
    <t>h11</t>
  </si>
  <si>
    <t>0.16.0</t>
  </si>
  <si>
    <t>httpcore</t>
  </si>
  <si>
    <t>1.0.9</t>
  </si>
  <si>
    <t>httptools</t>
  </si>
  <si>
    <t>httpx</t>
  </si>
  <si>
    <t>0.28.1</t>
  </si>
  <si>
    <t>identify</t>
  </si>
  <si>
    <t>2.6.19</t>
  </si>
  <si>
    <t>idna</t>
  </si>
  <si>
    <t>importlib-metadata</t>
  </si>
  <si>
    <t>8.7.1</t>
  </si>
  <si>
    <t>iniconfig</t>
  </si>
  <si>
    <t>2.3.0</t>
  </si>
  <si>
    <t>jiter</t>
  </si>
  <si>
    <t>0.14.0</t>
  </si>
  <si>
    <t>jsonpath-python</t>
  </si>
  <si>
    <t>jsonschema</t>
  </si>
  <si>
    <t>4.26.0</t>
  </si>
  <si>
    <t>jsonschema-specifications</t>
  </si>
  <si>
    <t>2025.9.1</t>
  </si>
  <si>
    <t>librt</t>
  </si>
  <si>
    <t>0.9.0</t>
  </si>
  <si>
    <t>livekit</t>
  </si>
  <si>
    <t>livekit-agents</t>
  </si>
  <si>
    <t>1.5.6</t>
  </si>
  <si>
    <t>livekit-api</t>
  </si>
  <si>
    <t>livekit-blingfire</t>
  </si>
  <si>
    <t>livekit-plugins-deepgram</t>
  </si>
  <si>
    <t>livekit-plugins-elevenlabs</t>
  </si>
  <si>
    <t>livekit-plugins-google</t>
  </si>
  <si>
    <t>livekit-plugins-openai</t>
  </si>
  <si>
    <t>livekit-plugins-silero</t>
  </si>
  <si>
    <t>livekit-protocol</t>
  </si>
  <si>
    <t>mako</t>
  </si>
  <si>
    <t>1.3.11</t>
  </si>
  <si>
    <t>markdown-it-py</t>
  </si>
  <si>
    <t>4.0.0</t>
  </si>
  <si>
    <t>markupsafe</t>
  </si>
  <si>
    <t>3.0.3</t>
  </si>
  <si>
    <t>mdurl</t>
  </si>
  <si>
    <t>0.1.2</t>
  </si>
  <si>
    <t>multidict</t>
  </si>
  <si>
    <t>6.7.1</t>
  </si>
  <si>
    <t>mypy</t>
  </si>
  <si>
    <t>1.20.2</t>
  </si>
  <si>
    <t>mypy-extensions</t>
  </si>
  <si>
    <t>nest-asyncio</t>
  </si>
  <si>
    <t>nodeenv</t>
  </si>
  <si>
    <t>1.10.0</t>
  </si>
  <si>
    <t>numpy</t>
  </si>
  <si>
    <t>2.4.4</t>
  </si>
  <si>
    <t>onnxruntime</t>
  </si>
  <si>
    <t>1.25.0</t>
  </si>
  <si>
    <t>openai</t>
  </si>
  <si>
    <t>2.32.0</t>
  </si>
  <si>
    <t>openrouter</t>
  </si>
  <si>
    <t>0.10.0</t>
  </si>
  <si>
    <t>opentelemetry-api</t>
  </si>
  <si>
    <t>1.39.1</t>
  </si>
  <si>
    <t>opentelemetry-exporter-otlp</t>
  </si>
  <si>
    <t>opentelemetry-exporter-otlp-proto-common</t>
  </si>
  <si>
    <t>opentelemetry-exporter-otlp-proto-grpc</t>
  </si>
  <si>
    <t>opentelemetry-exporter-otlp-proto-http</t>
  </si>
  <si>
    <t>opentelemetry-proto</t>
  </si>
  <si>
    <t>opentelemetry-sdk</t>
  </si>
  <si>
    <t>opentelemetry-semantic-conventions</t>
  </si>
  <si>
    <t>0.60b1</t>
  </si>
  <si>
    <t>packaging</t>
  </si>
  <si>
    <t>pathspec</t>
  </si>
  <si>
    <t>pillow</t>
  </si>
  <si>
    <t>12.2.0</t>
  </si>
  <si>
    <t>platformdirs</t>
  </si>
  <si>
    <t>4.9.6</t>
  </si>
  <si>
    <t>pluggy</t>
  </si>
  <si>
    <t>pre-commit</t>
  </si>
  <si>
    <t>4.6.0</t>
  </si>
  <si>
    <t>prometheus-client</t>
  </si>
  <si>
    <t>prometheus-fastapi-instrumentator</t>
  </si>
  <si>
    <t>7.1.0</t>
  </si>
  <si>
    <t>propcache</t>
  </si>
  <si>
    <t>0.4.1</t>
  </si>
  <si>
    <t>proto-plus</t>
  </si>
  <si>
    <t>1.27.2</t>
  </si>
  <si>
    <t>protobuf</t>
  </si>
  <si>
    <t>6.33.6</t>
  </si>
  <si>
    <t>psutil</t>
  </si>
  <si>
    <t>7.2.2</t>
  </si>
  <si>
    <t>psycopg</t>
  </si>
  <si>
    <t>3.3.3</t>
  </si>
  <si>
    <t>psycopg-binary</t>
  </si>
  <si>
    <t>pyasn1</t>
  </si>
  <si>
    <t>0.6.3</t>
  </si>
  <si>
    <t>pyasn1-modules</t>
  </si>
  <si>
    <t>0.4.2</t>
  </si>
  <si>
    <t>pycparser</t>
  </si>
  <si>
    <t>pydantic</t>
  </si>
  <si>
    <t>2.13.3</t>
  </si>
  <si>
    <t>pydantic-core</t>
  </si>
  <si>
    <t>2.46.3</t>
  </si>
  <si>
    <t>pydantic-settings</t>
  </si>
  <si>
    <t>2.14.0</t>
  </si>
  <si>
    <t>pygments</t>
  </si>
  <si>
    <t>2.20.0</t>
  </si>
  <si>
    <t>pyjwt</t>
  </si>
  <si>
    <t>2.12.1</t>
  </si>
  <si>
    <t>pytest</t>
  </si>
  <si>
    <t>8.4.2</t>
  </si>
  <si>
    <t>pytest-asyncio</t>
  </si>
  <si>
    <t>0.24.0</t>
  </si>
  <si>
    <t>python-discovery</t>
  </si>
  <si>
    <t>python-dotenv</t>
  </si>
  <si>
    <t>pyyaml</t>
  </si>
  <si>
    <t>6.0.3</t>
  </si>
  <si>
    <t>referencing</t>
  </si>
  <si>
    <t>0.37.0</t>
  </si>
  <si>
    <t>requests</t>
  </si>
  <si>
    <t>2.33.1</t>
  </si>
  <si>
    <t>rich</t>
  </si>
  <si>
    <t>15.0.0</t>
  </si>
  <si>
    <t>rpds-py</t>
  </si>
  <si>
    <t>0.30.0</t>
  </si>
  <si>
    <t>ruff</t>
  </si>
  <si>
    <t>0.7.4</t>
  </si>
  <si>
    <t>shellingham</t>
  </si>
  <si>
    <t>1.5.4</t>
  </si>
  <si>
    <t>sniffio</t>
  </si>
  <si>
    <t>1.3.1</t>
  </si>
  <si>
    <t>sounddevice</t>
  </si>
  <si>
    <t>0.5.5</t>
  </si>
  <si>
    <t>sqlalchemy</t>
  </si>
  <si>
    <t>2.0.49</t>
  </si>
  <si>
    <t>starlette</t>
  </si>
  <si>
    <t>0.46.2</t>
  </si>
  <si>
    <t>structlog</t>
  </si>
  <si>
    <t>24.4.0</t>
  </si>
  <si>
    <t>tenacity</t>
  </si>
  <si>
    <t>9.1.4</t>
  </si>
  <si>
    <t>tqdm</t>
  </si>
  <si>
    <t>4.67.3</t>
  </si>
  <si>
    <t>typer</t>
  </si>
  <si>
    <t>0.25.0</t>
  </si>
  <si>
    <t>types-protobuf</t>
  </si>
  <si>
    <t>7.34.1.20260408</t>
  </si>
  <si>
    <t>typing-extensions</t>
  </si>
  <si>
    <t>4.15.0</t>
  </si>
  <si>
    <t>typing-inspection</t>
  </si>
  <si>
    <t>tzdata</t>
  </si>
  <si>
    <t>urllib3</t>
  </si>
  <si>
    <t>2.6.3</t>
  </si>
  <si>
    <t>uvicorn</t>
  </si>
  <si>
    <t>0.32.1</t>
  </si>
  <si>
    <t>uvloop</t>
  </si>
  <si>
    <t>virtualenv</t>
  </si>
  <si>
    <t>21.2.4</t>
  </si>
  <si>
    <t>watchfiles</t>
  </si>
  <si>
    <t>websockets</t>
  </si>
  <si>
    <t>15.0.1</t>
  </si>
  <si>
    <t>yarl</t>
  </si>
  <si>
    <t>1.23.0</t>
  </si>
  <si>
    <t>zipp</t>
  </si>
  <si>
    <t>3.23.1</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</si>
  <si>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</si>
  <si>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</si>
  <si>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</si>
  <si>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</si>
  <si>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</si>
  <si>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</si>
  <si>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</si>
  <si>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</si>
  <si>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</si>
  <si>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</si>
  <si>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</si>
  <si>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</si>
  <si>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</si>
  <si>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</si>
  <si>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</si>
  <si>
    <t>^0.115.0</t>
  </si>
  <si>
    <t>REST API framework</t>
  </si>
  <si>
    <t>^0.32.0</t>
  </si>
  <si>
    <t>BSD</t>
  </si>
  <si>
    <t>ASGI server</t>
  </si>
  <si>
    <t>^2.9.0</t>
  </si>
  <si>
    <t>Data validation</t>
  </si>
  <si>
    <t>^2.6.0</t>
  </si>
  <si>
    <t>Settings management</t>
  </si>
  <si>
    <t>^1.0.1</t>
  </si>
  <si>
    <t>Environment config</t>
  </si>
  <si>
    <t>^1.5.0</t>
  </si>
  <si>
    <t>Voice agent framework</t>
  </si>
  <si>
    <t>^2.0.36</t>
  </si>
  <si>
    <t>Database ORM</t>
  </si>
  <si>
    <t>^1.14.0</t>
  </si>
  <si>
    <t>Database migrations</t>
  </si>
  <si>
    <t>^3.2.0</t>
  </si>
  <si>
    <t>LGPL</t>
  </si>
  <si>
    <t>PostgreSQL driver</t>
  </si>
  <si>
    <t>^24.4.0</t>
  </si>
  <si>
    <t>Structured logging</t>
  </si>
  <si>
    <t>^7.0.0</t>
  </si>
  <si>
    <t>FastAPI middleware for Prometheus metrics</t>
  </si>
  <si>
    <t xml:space="preserve">prometheus-client </t>
  </si>
  <si>
    <t>^0.22.0</t>
  </si>
  <si>
    <t>Official Prometheus instrumentation client</t>
  </si>
  <si>
    <t>&gt;=1.27.0</t>
  </si>
  <si>
    <t>OpenTelemetry tracing and metrics API</t>
  </si>
  <si>
    <t>OpenTelemetry reference implementation SDK</t>
  </si>
  <si>
    <t>^0.28.1</t>
  </si>
  <si>
    <t>HTTP client</t>
  </si>
  <si>
    <t>^19.0.0</t>
  </si>
  <si>
    <t>UI framework</t>
  </si>
  <si>
    <t>React DOM renderer</t>
  </si>
  <si>
    <t>^2.5.0</t>
  </si>
  <si>
    <t>LiveKit client SDK</t>
  </si>
  <si>
    <t>LiveKit React components</t>
  </si>
  <si>
    <t>^1.1.0</t>
  </si>
  <si>
    <t>LiveKit component styles</t>
  </si>
  <si>
    <t>^7.1.0</t>
  </si>
  <si>
    <t>Client-side routing</t>
  </si>
  <si>
    <t>^2.0.7</t>
  </si>
  <si>
    <t>Toast notifications</t>
  </si>
  <si>
    <t>^0.4.6</t>
  </si>
  <si>
    <t>Theme management</t>
  </si>
  <si>
    <t>Slot component for Radix UI</t>
  </si>
  <si>
    <t>^0.7.0</t>
  </si>
  <si>
    <t>Variant management for classes</t>
  </si>
  <si>
    <t>^2.1.1</t>
  </si>
  <si>
    <t>Class name utility</t>
  </si>
  <si>
    <t>^0.460.0</t>
  </si>
  <si>
    <t>Icon library for React</t>
  </si>
  <si>
    <t>^1.4.3</t>
  </si>
  <si>
    <t>Radix UI primitives</t>
  </si>
  <si>
    <t>Tailwind class merging</t>
  </si>
  <si>
    <t>^0.22.1</t>
  </si>
  <si>
    <t>Async SQLite driver for testing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</si>
</sst>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4">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u/>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43">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3" fontId="7" numFmtId="0" xfId="0" applyAlignment="1" applyFont="1">
      <alignment horizontal="right" readingOrder="0" shrinkToFit="0" vertical="bottom" wrapText="1"/>
    </xf>
    <xf borderId="0" fillId="4" fontId="7" numFmtId="0" xfId="0" applyAlignment="1" applyFont="1">
      <alignment shrinkToFit="0" vertical="bottom" wrapText="1"/>
    </xf>
    <xf borderId="0" fillId="3" fontId="6" numFmtId="0" xfId="0" applyAlignment="1" applyFont="1">
      <alignment horizontal="left" shrinkToFit="0" vertical="bottom" wrapText="1"/>
    </xf>
    <xf borderId="0" fillId="4" fontId="7" numFmtId="0" xfId="0" applyAlignment="1" applyFont="1">
      <alignment readingOrder="0" shrinkToFit="0" vertical="bottom" wrapText="0"/>
    </xf>
    <xf borderId="0" fillId="3" fontId="7" numFmtId="0" xfId="0" applyAlignment="1" applyFont="1">
      <alignment horizontal="right" shrinkToFit="0" vertical="bottom" wrapText="1"/>
    </xf>
    <xf borderId="0" fillId="4" fontId="7" numFmtId="0" xfId="0" applyAlignment="1" applyFont="1">
      <alignment horizontal="left" readingOrder="0" shrinkToFit="0" vertical="bottom" wrapText="0"/>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0" fontId="11" numFmtId="0" xfId="0" applyAlignment="1" applyFont="1">
      <alignment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2" numFmtId="4" xfId="0" applyAlignment="1" applyFont="1" applyNumberFormat="1">
      <alignment horizontal="center" shrinkToFit="0" vertical="center" wrapText="1"/>
    </xf>
    <xf borderId="0" fillId="7" fontId="12"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4" fontId="6"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3"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xf borderId="0" fillId="3" fontId="7" numFmtId="0" xfId="0" applyAlignment="1" applyFont="1">
      <alignment readingOrder="0" shrinkToFit="0" vertical="bottom"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6">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 count="3" pivot="0" name="Bill of Materials (Ol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22" Type="http://schemas.openxmlformats.org/officeDocument/2006/relationships/worksheet" Target="worksheets/sheet17.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943068295"/>
        <c:axId val="1874832041"/>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943068295"/>
        <c:axId val="1874832041"/>
      </c:lineChart>
      <c:catAx>
        <c:axId val="94306829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74832041"/>
      </c:catAx>
      <c:valAx>
        <c:axId val="1874832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4306829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1553188822"/>
        <c:axId val="436713329"/>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1553188822"/>
        <c:axId val="436713329"/>
      </c:lineChart>
      <c:catAx>
        <c:axId val="155318882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36713329"/>
      </c:catAx>
      <c:valAx>
        <c:axId val="436713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553188822"/>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3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E44" displayName="Table_12" name="Table_12" id="12">
  <tableColumns count="5">
    <tableColumn name="#" id="1"/>
    <tableColumn name="Context" id="2"/>
    <tableColumn name="Name" id="3"/>
    <tableColumn name="Version" id="4"/>
    <tableColumn name="License" id="5"/>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5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tables/table16.xml><?xml version="1.0" encoding="utf-8"?>
<table xmlns="http://schemas.openxmlformats.org/spreadsheetml/2006/main" ref="A1:F44" displayName="Table_16" name="Table_16" id="16">
  <tableColumns count="6">
    <tableColumn name="#" id="1"/>
    <tableColumn name="Context" id="2"/>
    <tableColumn name="Name" id="3"/>
    <tableColumn name="Version" id="4"/>
    <tableColumn name="License" id="5"/>
    <tableColumn name="Comment" id="6"/>
  </tableColumns>
  <tableStyleInfo name="Bill of Materials (Old)-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hyperlink" Target="https://github.com/amosproj/amos2026ss04-taskorbit-conversational-agent/wiki" TargetMode="External"/><Relationship Id="rId3" Type="http://schemas.openxmlformats.org/officeDocument/2006/relationships/hyperlink" Target="https://github.com/amosproj/amos2026ss04-taskorbit-conversational-agent/tree/main/Documentation" TargetMode="External"/><Relationship Id="rId4" Type="http://schemas.openxmlformats.org/officeDocument/2006/relationships/hyperlink" Target="https://github.com/amosproj/amos2026ss04-taskorbit-conversational-agent/tree/main/Deliverables" TargetMode="External"/><Relationship Id="rId5" Type="http://schemas.openxmlformats.org/officeDocument/2006/relationships/hyperlink" Target="https://github.com/amosproj/amos2026ss04-taskorbit-conversational-agent" TargetMode="External"/><Relationship Id="rId6" Type="http://schemas.openxmlformats.org/officeDocument/2006/relationships/drawing" Target="../drawings/drawing15.xml"/><Relationship Id="rId8"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80</v>
      </c>
      <c r="G6" s="10" t="s">
        <v>40</v>
      </c>
      <c r="H6" s="20"/>
    </row>
    <row r="7">
      <c r="A7" s="18">
        <v>5.0</v>
      </c>
      <c r="B7" s="21">
        <f t="shared" si="1"/>
        <v>46155</v>
      </c>
      <c r="C7" s="10" t="s">
        <v>32</v>
      </c>
      <c r="D7" s="10" t="s">
        <v>44</v>
      </c>
      <c r="E7" s="10"/>
      <c r="F7" s="10" t="s">
        <v>81</v>
      </c>
      <c r="G7" s="10" t="s">
        <v>40</v>
      </c>
      <c r="H7" s="20"/>
    </row>
    <row r="8">
      <c r="A8" s="18">
        <v>6.0</v>
      </c>
      <c r="B8" s="21">
        <f t="shared" si="1"/>
        <v>46162</v>
      </c>
      <c r="C8" s="10" t="s">
        <v>44</v>
      </c>
      <c r="D8" s="10" t="s">
        <v>32</v>
      </c>
      <c r="E8" s="10"/>
      <c r="F8" s="10" t="s">
        <v>82</v>
      </c>
      <c r="G8" s="10" t="s">
        <v>40</v>
      </c>
      <c r="H8" s="20"/>
    </row>
    <row r="9">
      <c r="A9" s="18">
        <v>7.0</v>
      </c>
      <c r="B9" s="21">
        <f t="shared" si="1"/>
        <v>46169</v>
      </c>
      <c r="C9" s="10" t="s">
        <v>32</v>
      </c>
      <c r="D9" s="10" t="s">
        <v>44</v>
      </c>
      <c r="E9" s="10"/>
      <c r="F9" s="10" t="s">
        <v>83</v>
      </c>
      <c r="G9" s="10" t="s">
        <v>40</v>
      </c>
      <c r="H9" s="22" t="s">
        <v>84</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80</v>
      </c>
      <c r="G13" s="10" t="s">
        <v>40</v>
      </c>
      <c r="H13" s="20"/>
    </row>
    <row r="14">
      <c r="A14" s="18">
        <v>12.0</v>
      </c>
      <c r="B14" s="21">
        <f t="shared" si="1"/>
        <v>46204</v>
      </c>
      <c r="C14" s="10" t="s">
        <v>44</v>
      </c>
      <c r="D14" s="10" t="s">
        <v>32</v>
      </c>
      <c r="E14" s="12"/>
      <c r="F14" s="10" t="s">
        <v>81</v>
      </c>
      <c r="G14" s="10" t="s">
        <v>40</v>
      </c>
      <c r="H14" s="20"/>
    </row>
    <row r="15">
      <c r="A15" s="18">
        <v>13.0</v>
      </c>
      <c r="B15" s="21">
        <f t="shared" si="1"/>
        <v>46211</v>
      </c>
      <c r="C15" s="10" t="s">
        <v>32</v>
      </c>
      <c r="D15" s="10" t="s">
        <v>44</v>
      </c>
      <c r="E15" s="12"/>
      <c r="F15" s="10" t="s">
        <v>83</v>
      </c>
      <c r="G15" s="10" t="s">
        <v>40</v>
      </c>
      <c r="H15" s="20"/>
    </row>
    <row r="16">
      <c r="A16" s="18">
        <v>14.0</v>
      </c>
      <c r="B16" s="21">
        <f t="shared" si="1"/>
        <v>46218</v>
      </c>
      <c r="C16" s="10" t="s">
        <v>44</v>
      </c>
      <c r="D16" s="10" t="s">
        <v>32</v>
      </c>
      <c r="E16" s="12"/>
      <c r="F16" s="10" t="s">
        <v>82</v>
      </c>
      <c r="G16" s="10" t="s">
        <v>40</v>
      </c>
      <c r="H16" s="22" t="s">
        <v>85</v>
      </c>
    </row>
    <row r="17">
      <c r="A17" s="18">
        <v>15.0</v>
      </c>
      <c r="B17" s="21">
        <f t="shared" si="1"/>
        <v>46225</v>
      </c>
      <c r="C17" s="10" t="s">
        <v>32</v>
      </c>
      <c r="D17" s="10" t="s">
        <v>44</v>
      </c>
      <c r="E17" s="12"/>
      <c r="F17" s="10" t="s">
        <v>56</v>
      </c>
      <c r="G17" s="10" t="s">
        <v>40</v>
      </c>
      <c r="H17" s="22" t="s">
        <v>86</v>
      </c>
    </row>
    <row r="18">
      <c r="A18" s="18"/>
      <c r="B18" s="23"/>
      <c r="C18" s="12"/>
      <c r="D18" s="12"/>
      <c r="E18" s="12"/>
      <c r="F18" s="12"/>
      <c r="G18" s="12"/>
      <c r="H18" s="24"/>
    </row>
    <row r="19">
      <c r="A19" s="22" t="s">
        <v>87</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88</v>
      </c>
      <c r="B1" s="28" t="s">
        <v>89</v>
      </c>
    </row>
    <row r="2">
      <c r="A2" s="29"/>
      <c r="B2" s="30"/>
    </row>
    <row r="3">
      <c r="A3" s="31" t="s">
        <v>90</v>
      </c>
      <c r="B3" s="28" t="s">
        <v>91</v>
      </c>
    </row>
    <row r="4">
      <c r="A4" s="29"/>
      <c r="B4" s="32" t="s">
        <v>92</v>
      </c>
    </row>
    <row r="5">
      <c r="A5" s="31" t="s">
        <v>93</v>
      </c>
      <c r="B5" s="28" t="s">
        <v>94</v>
      </c>
    </row>
    <row r="6">
      <c r="A6" s="29"/>
      <c r="B6" s="30"/>
    </row>
    <row r="7">
      <c r="A7" s="31" t="s">
        <v>95</v>
      </c>
      <c r="B7" s="28" t="s">
        <v>96</v>
      </c>
    </row>
    <row r="8">
      <c r="A8" s="29"/>
      <c r="B8" s="30"/>
    </row>
    <row r="9">
      <c r="A9" s="31" t="s">
        <v>97</v>
      </c>
      <c r="B9" s="28" t="s">
        <v>98</v>
      </c>
    </row>
    <row r="10">
      <c r="A10" s="29"/>
      <c r="B10" s="30"/>
    </row>
    <row r="11">
      <c r="A11" s="31" t="s">
        <v>99</v>
      </c>
      <c r="B11" s="28" t="s">
        <v>100</v>
      </c>
    </row>
    <row r="12">
      <c r="A12" s="30"/>
      <c r="B12" s="30"/>
    </row>
    <row r="13">
      <c r="A13" s="31" t="s">
        <v>101</v>
      </c>
      <c r="B13" s="28" t="s">
        <v>102</v>
      </c>
    </row>
    <row r="14">
      <c r="A14" s="30"/>
      <c r="B14" s="30"/>
    </row>
    <row r="15">
      <c r="A15" s="33" t="s">
        <v>103</v>
      </c>
      <c r="B15" s="28" t="s">
        <v>104</v>
      </c>
    </row>
    <row r="16">
      <c r="A16" s="30"/>
      <c r="B16" s="30"/>
    </row>
    <row r="17">
      <c r="A17" s="33" t="s">
        <v>105</v>
      </c>
      <c r="B17" s="28" t="s">
        <v>106</v>
      </c>
    </row>
    <row r="18">
      <c r="A18" s="30"/>
      <c r="B18" s="30"/>
    </row>
    <row r="19">
      <c r="A19" s="31" t="s">
        <v>107</v>
      </c>
      <c r="B19" s="33"/>
    </row>
    <row r="21">
      <c r="A21" s="34" t="s">
        <v>75</v>
      </c>
      <c r="B21" s="35" t="s">
        <v>108</v>
      </c>
    </row>
    <row r="22">
      <c r="A22" s="34" t="s">
        <v>109</v>
      </c>
      <c r="B22" s="35" t="s">
        <v>110</v>
      </c>
    </row>
    <row r="23">
      <c r="A23" s="34" t="s">
        <v>109</v>
      </c>
      <c r="B23" s="35" t="s">
        <v>111</v>
      </c>
    </row>
    <row r="24">
      <c r="A24" s="34" t="s">
        <v>112</v>
      </c>
      <c r="B24" s="35" t="s">
        <v>79</v>
      </c>
    </row>
    <row r="25">
      <c r="A25" s="34" t="s">
        <v>112</v>
      </c>
      <c r="B25" s="35" t="s">
        <v>113</v>
      </c>
    </row>
    <row r="26">
      <c r="A26" s="34" t="s">
        <v>112</v>
      </c>
      <c r="B26" s="35" t="s">
        <v>83</v>
      </c>
    </row>
    <row r="27">
      <c r="A27" s="34" t="s">
        <v>112</v>
      </c>
      <c r="B27" s="35" t="s">
        <v>81</v>
      </c>
    </row>
    <row r="28">
      <c r="A28" s="34" t="s">
        <v>112</v>
      </c>
      <c r="B28" s="35" t="s">
        <v>82</v>
      </c>
    </row>
    <row r="29">
      <c r="A29" s="34" t="s">
        <v>112</v>
      </c>
      <c r="B29" s="35" t="s">
        <v>114</v>
      </c>
    </row>
    <row r="30">
      <c r="A30" s="35" t="s">
        <v>112</v>
      </c>
      <c r="B30" s="35" t="s">
        <v>115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116</v>
      </c>
      <c r="B1" s="36" t="s">
        <v>117</v>
      </c>
    </row>
    <row r="2">
      <c r="A2" s="37"/>
      <c r="B2" s="38"/>
    </row>
    <row r="3">
      <c r="A3" s="39" t="s">
        <v>118</v>
      </c>
      <c r="B3" s="39"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5.0"/>
  </cols>
  <sheetData>
    <row r="1">
      <c r="A1" s="40" t="s">
        <v>120</v>
      </c>
      <c r="B1" s="40" t="s">
        <v>121</v>
      </c>
    </row>
    <row r="2">
      <c r="A2" s="41" t="s">
        <v>122</v>
      </c>
      <c r="B2" s="2" t="s">
        <v>123</v>
      </c>
    </row>
    <row r="3">
      <c r="A3" s="35" t="s">
        <v>124</v>
      </c>
      <c r="B3" s="35" t="s">
        <v>125</v>
      </c>
    </row>
    <row r="4">
      <c r="A4" s="2" t="s">
        <v>126</v>
      </c>
      <c r="B4" s="2" t="s">
        <v>127</v>
      </c>
    </row>
    <row r="5">
      <c r="A5" s="2" t="s">
        <v>128</v>
      </c>
      <c r="B5" s="2" t="s">
        <v>129</v>
      </c>
    </row>
    <row r="6">
      <c r="A6" s="2" t="s">
        <v>130</v>
      </c>
      <c r="B6" s="35" t="s">
        <v>131</v>
      </c>
    </row>
    <row r="7">
      <c r="A7" s="2" t="s">
        <v>132</v>
      </c>
      <c r="B7" s="35" t="s">
        <v>133</v>
      </c>
    </row>
    <row r="8">
      <c r="A8" s="35" t="s">
        <v>134</v>
      </c>
      <c r="B8" s="35" t="s">
        <v>135</v>
      </c>
    </row>
    <row r="9">
      <c r="A9" s="35" t="s">
        <v>136</v>
      </c>
      <c r="B9" s="35" t="s">
        <v>137</v>
      </c>
    </row>
    <row r="10">
      <c r="A10" s="2" t="s">
        <v>138</v>
      </c>
      <c r="B10" s="2" t="s">
        <v>139</v>
      </c>
    </row>
    <row r="11">
      <c r="A11" s="2" t="s">
        <v>140</v>
      </c>
      <c r="B11" s="2" t="s">
        <v>141</v>
      </c>
    </row>
    <row r="12">
      <c r="A12" s="2" t="s">
        <v>142</v>
      </c>
      <c r="B12" s="2" t="s">
        <v>143</v>
      </c>
    </row>
    <row r="13">
      <c r="A13" s="35" t="s">
        <v>144</v>
      </c>
      <c r="B13" s="2" t="s">
        <v>145</v>
      </c>
    </row>
    <row r="14">
      <c r="A14" s="35" t="s">
        <v>146</v>
      </c>
      <c r="B14" s="2" t="s">
        <v>147</v>
      </c>
    </row>
    <row r="15">
      <c r="A15" s="2" t="s">
        <v>148</v>
      </c>
      <c r="B15" s="2" t="s">
        <v>149</v>
      </c>
    </row>
    <row r="16">
      <c r="A16" s="2" t="s">
        <v>150</v>
      </c>
      <c r="B16" s="2" t="s">
        <v>151</v>
      </c>
    </row>
    <row r="17">
      <c r="A17" s="2" t="s">
        <v>152</v>
      </c>
      <c r="B17" s="2" t="s">
        <v>153</v>
      </c>
    </row>
    <row r="18">
      <c r="A18" s="35" t="s">
        <v>154</v>
      </c>
      <c r="B18" s="35" t="s">
        <v>155</v>
      </c>
    </row>
    <row r="19">
      <c r="A19" s="2" t="s">
        <v>156</v>
      </c>
      <c r="B19" s="2" t="s">
        <v>157</v>
      </c>
    </row>
    <row r="20">
      <c r="A20" s="2" t="s">
        <v>158</v>
      </c>
      <c r="B20" s="2" t="s">
        <v>159</v>
      </c>
    </row>
    <row r="21">
      <c r="A21" s="2" t="s">
        <v>160</v>
      </c>
      <c r="B21" s="2" t="s">
        <v>161</v>
      </c>
    </row>
    <row r="22">
      <c r="A22" s="2"/>
      <c r="B22" s="2"/>
    </row>
    <row r="23">
      <c r="A23" s="3"/>
      <c r="B23" s="3"/>
    </row>
    <row r="24">
      <c r="A24" s="3"/>
      <c r="B24" s="3"/>
    </row>
    <row r="25">
      <c r="A25" s="3"/>
      <c r="B25" s="3"/>
    </row>
    <row r="26">
      <c r="A26" s="3"/>
      <c r="B26" s="3"/>
    </row>
    <row r="27">
      <c r="A27" s="3"/>
      <c r="B27" s="3"/>
    </row>
    <row r="28">
      <c r="A28" s="3"/>
      <c r="B28" s="3"/>
    </row>
    <row r="29">
      <c r="A29" s="3"/>
      <c r="B29" s="3"/>
    </row>
    <row r="30">
      <c r="A30" s="3"/>
      <c r="B3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162</v>
      </c>
      <c r="B1" s="4" t="s">
        <v>163</v>
      </c>
    </row>
    <row r="2">
      <c r="A2" s="43">
        <v>1.0</v>
      </c>
      <c r="B2" s="2" t="s">
        <v>7</v>
      </c>
    </row>
    <row r="3">
      <c r="A3" s="43">
        <f t="shared" ref="A3:A13" si="1">A2+1</f>
        <v>2</v>
      </c>
      <c r="B3" s="2" t="s">
        <v>7</v>
      </c>
    </row>
    <row r="4">
      <c r="A4" s="43">
        <f t="shared" si="1"/>
        <v>3</v>
      </c>
      <c r="B4" s="2" t="s">
        <v>7</v>
      </c>
    </row>
    <row r="5">
      <c r="A5" s="43">
        <f t="shared" si="1"/>
        <v>4</v>
      </c>
      <c r="B5" s="2" t="s">
        <v>164</v>
      </c>
    </row>
    <row r="6">
      <c r="A6" s="43">
        <f t="shared" si="1"/>
        <v>5</v>
      </c>
      <c r="B6" s="35" t="s">
        <v>165</v>
      </c>
    </row>
    <row r="7">
      <c r="A7" s="43">
        <f t="shared" si="1"/>
        <v>6</v>
      </c>
      <c r="B7" s="2" t="s">
        <v>166</v>
      </c>
    </row>
    <row r="8">
      <c r="A8" s="43">
        <f t="shared" si="1"/>
        <v>7</v>
      </c>
      <c r="B8" s="2" t="s">
        <v>167</v>
      </c>
    </row>
    <row r="9">
      <c r="A9" s="43">
        <f t="shared" si="1"/>
        <v>8</v>
      </c>
      <c r="B9" s="44" t="s">
        <v>168</v>
      </c>
    </row>
    <row r="10">
      <c r="A10" s="43">
        <f t="shared" si="1"/>
        <v>9</v>
      </c>
      <c r="B10" s="45" t="s">
        <v>169</v>
      </c>
    </row>
    <row r="11">
      <c r="A11" s="43">
        <f t="shared" si="1"/>
        <v>10</v>
      </c>
      <c r="B11" s="46" t="s">
        <v>170</v>
      </c>
    </row>
    <row r="12">
      <c r="A12" s="43">
        <f t="shared" si="1"/>
        <v>11</v>
      </c>
      <c r="B12" s="45" t="s">
        <v>171</v>
      </c>
    </row>
    <row r="13">
      <c r="A13" s="43">
        <f t="shared" si="1"/>
        <v>12</v>
      </c>
      <c r="B13" s="46" t="s">
        <v>172</v>
      </c>
    </row>
    <row r="14">
      <c r="A14" s="43">
        <v>13.0</v>
      </c>
      <c r="B14" s="2" t="s">
        <v>173</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174</v>
      </c>
      <c r="B1" s="49" t="s">
        <v>175</v>
      </c>
      <c r="C1" s="50" t="s">
        <v>176</v>
      </c>
      <c r="D1" s="51" t="s">
        <v>177</v>
      </c>
      <c r="E1" s="51" t="s">
        <v>178</v>
      </c>
      <c r="F1" s="51" t="s">
        <v>179</v>
      </c>
      <c r="G1" s="51" t="s">
        <v>180</v>
      </c>
    </row>
    <row r="2">
      <c r="A2" s="52"/>
      <c r="B2" s="53"/>
      <c r="C2" s="54"/>
      <c r="D2" s="54"/>
      <c r="E2" s="54"/>
      <c r="F2" s="54"/>
      <c r="G2" s="54"/>
    </row>
    <row r="3">
      <c r="A3" s="55" t="s">
        <v>181</v>
      </c>
      <c r="B3" s="56"/>
      <c r="C3" s="57"/>
      <c r="D3" s="57"/>
      <c r="E3" s="57"/>
      <c r="F3" s="57"/>
      <c r="G3" s="57"/>
    </row>
    <row r="4">
      <c r="A4" s="52"/>
      <c r="B4" s="53"/>
      <c r="C4" s="54"/>
      <c r="D4" s="54"/>
      <c r="E4" s="54"/>
      <c r="F4" s="54"/>
      <c r="G4" s="54"/>
    </row>
    <row r="5">
      <c r="A5" s="58" t="s">
        <v>182</v>
      </c>
      <c r="B5" s="59"/>
      <c r="C5" s="30"/>
      <c r="D5" s="60">
        <f>SUM(D8:D14)</f>
        <v>120</v>
      </c>
      <c r="E5" s="60">
        <f>D5</f>
        <v>120</v>
      </c>
      <c r="F5" s="30"/>
      <c r="G5" s="30"/>
    </row>
    <row r="6">
      <c r="A6" s="52"/>
      <c r="B6" s="53"/>
      <c r="C6" s="54"/>
      <c r="D6" s="54"/>
      <c r="E6" s="54"/>
      <c r="F6" s="54"/>
      <c r="G6" s="54"/>
    </row>
    <row r="7">
      <c r="A7" s="61" t="s">
        <v>183</v>
      </c>
      <c r="B7" s="62"/>
      <c r="C7" s="63"/>
      <c r="D7" s="63"/>
      <c r="E7" s="63"/>
      <c r="F7" s="63"/>
      <c r="G7" s="63"/>
    </row>
    <row r="8">
      <c r="A8" s="64" t="s">
        <v>183</v>
      </c>
      <c r="B8" s="53"/>
      <c r="C8" s="54"/>
      <c r="D8" s="54"/>
      <c r="E8" s="65" t="s">
        <v>178</v>
      </c>
      <c r="F8" s="54"/>
      <c r="G8" s="65" t="s">
        <v>180</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184</v>
      </c>
      <c r="B16" s="74"/>
      <c r="C16" s="75"/>
      <c r="D16" s="75"/>
      <c r="E16" s="75"/>
      <c r="F16" s="75"/>
      <c r="G16" s="75"/>
    </row>
    <row r="17">
      <c r="A17" s="66"/>
      <c r="B17" s="58"/>
      <c r="C17" s="30"/>
      <c r="D17" s="30"/>
      <c r="E17" s="30"/>
      <c r="F17" s="30"/>
      <c r="G17" s="30"/>
    </row>
    <row r="18">
      <c r="A18" s="76">
        <f>A9</f>
        <v>1</v>
      </c>
      <c r="B18" s="77" t="s">
        <v>7</v>
      </c>
      <c r="C18" s="28" t="s">
        <v>185</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186</v>
      </c>
      <c r="D24" s="67">
        <v>3.0</v>
      </c>
      <c r="E24" s="69"/>
      <c r="F24" s="69">
        <v>2.0</v>
      </c>
      <c r="G24" s="54"/>
    </row>
    <row r="25">
      <c r="A25" s="66"/>
      <c r="B25" s="78"/>
      <c r="C25" s="30" t="s">
        <v>187</v>
      </c>
      <c r="D25" s="60">
        <v>5.0</v>
      </c>
      <c r="E25" s="30"/>
      <c r="F25" s="30">
        <v>5.0</v>
      </c>
      <c r="G25" s="30"/>
    </row>
    <row r="26">
      <c r="A26" s="80"/>
      <c r="B26" s="69"/>
      <c r="C26" s="81" t="s">
        <v>188</v>
      </c>
      <c r="D26" s="67">
        <v>5.0</v>
      </c>
      <c r="E26" s="69"/>
      <c r="F26" s="69">
        <v>5.0</v>
      </c>
      <c r="G26" s="69"/>
    </row>
    <row r="27">
      <c r="A27" s="66"/>
      <c r="B27" s="78"/>
      <c r="C27" s="30" t="s">
        <v>189</v>
      </c>
      <c r="D27" s="60">
        <v>3.0</v>
      </c>
      <c r="E27" s="30"/>
      <c r="F27" s="82" t="s">
        <v>190</v>
      </c>
      <c r="G27" s="30"/>
    </row>
    <row r="28">
      <c r="A28" s="80"/>
      <c r="B28" s="69"/>
      <c r="C28" s="69"/>
      <c r="D28" s="67"/>
      <c r="E28" s="69"/>
      <c r="F28" s="69"/>
      <c r="G28" s="69"/>
    </row>
    <row r="29">
      <c r="A29" s="66"/>
      <c r="B29" s="78"/>
      <c r="C29" s="30"/>
      <c r="D29" s="60"/>
      <c r="E29" s="30"/>
      <c r="F29" s="30"/>
      <c r="G29" s="30"/>
    </row>
    <row r="30">
      <c r="A30" s="76">
        <f>A11</f>
        <v>3</v>
      </c>
      <c r="B30" s="77" t="s">
        <v>7</v>
      </c>
      <c r="C30" s="69" t="s">
        <v>189</v>
      </c>
      <c r="D30" s="67">
        <v>3.0</v>
      </c>
      <c r="E30" s="69"/>
      <c r="F30" s="69">
        <v>3.0</v>
      </c>
      <c r="G30" s="54"/>
    </row>
    <row r="31">
      <c r="A31" s="66"/>
      <c r="B31" s="83"/>
      <c r="C31" s="30" t="s">
        <v>191</v>
      </c>
      <c r="D31" s="60">
        <v>5.0</v>
      </c>
      <c r="E31" s="30"/>
      <c r="F31" s="30">
        <v>5.0</v>
      </c>
      <c r="G31" s="30"/>
    </row>
    <row r="32">
      <c r="A32" s="80"/>
      <c r="B32" s="84"/>
      <c r="C32" s="69" t="s">
        <v>192</v>
      </c>
      <c r="D32" s="67">
        <v>3.0</v>
      </c>
      <c r="E32" s="69"/>
      <c r="F32" s="69">
        <v>3.0</v>
      </c>
      <c r="G32" s="69"/>
    </row>
    <row r="33">
      <c r="A33" s="66"/>
      <c r="B33" s="83"/>
      <c r="C33" s="30" t="s">
        <v>193</v>
      </c>
      <c r="D33" s="60">
        <v>3.0</v>
      </c>
      <c r="E33" s="30"/>
      <c r="F33" s="30">
        <v>2.0</v>
      </c>
      <c r="G33" s="30"/>
    </row>
    <row r="34">
      <c r="A34" s="80"/>
      <c r="B34" s="84"/>
      <c r="C34" s="69" t="s">
        <v>194</v>
      </c>
      <c r="D34" s="67">
        <v>5.0</v>
      </c>
      <c r="E34" s="69"/>
      <c r="F34" s="69">
        <v>5.0</v>
      </c>
      <c r="G34" s="69"/>
    </row>
    <row r="35">
      <c r="A35" s="66"/>
      <c r="B35" s="83"/>
      <c r="C35" s="30"/>
      <c r="D35" s="60"/>
      <c r="E35" s="30"/>
      <c r="F35" s="30"/>
      <c r="G35" s="30"/>
    </row>
    <row r="36">
      <c r="A36" s="68">
        <v>4.0</v>
      </c>
      <c r="B36" s="77" t="str">
        <f>'Sprint Goals'!B5</f>
        <v>Optional</v>
      </c>
      <c r="C36" s="69" t="s">
        <v>195</v>
      </c>
      <c r="D36" s="67">
        <v>5.0</v>
      </c>
      <c r="E36" s="69"/>
      <c r="F36" s="81">
        <v>8.0</v>
      </c>
      <c r="G36" s="69"/>
    </row>
    <row r="37">
      <c r="A37" s="66"/>
      <c r="B37" s="83"/>
      <c r="C37" s="30" t="s">
        <v>196</v>
      </c>
      <c r="D37" s="60">
        <v>5.0</v>
      </c>
      <c r="E37" s="30"/>
      <c r="F37" s="32">
        <v>5.0</v>
      </c>
      <c r="G37" s="30"/>
    </row>
    <row r="38">
      <c r="A38" s="80"/>
      <c r="B38" s="84"/>
      <c r="C38" s="69" t="s">
        <v>197</v>
      </c>
      <c r="D38" s="67">
        <v>5.0</v>
      </c>
      <c r="E38" s="69"/>
      <c r="F38" s="81">
        <v>5.0</v>
      </c>
      <c r="G38" s="69"/>
    </row>
    <row r="39">
      <c r="A39" s="66"/>
      <c r="B39" s="83"/>
      <c r="C39" s="30" t="s">
        <v>198</v>
      </c>
      <c r="D39" s="60">
        <v>5.0</v>
      </c>
      <c r="E39" s="30"/>
      <c r="F39" s="32">
        <v>5.0</v>
      </c>
      <c r="G39" s="30"/>
    </row>
    <row r="40">
      <c r="A40" s="80"/>
      <c r="B40" s="84"/>
      <c r="C40" s="69" t="s">
        <v>199</v>
      </c>
      <c r="D40" s="67">
        <v>5.0</v>
      </c>
      <c r="E40" s="69"/>
      <c r="F40" s="81">
        <v>5.0</v>
      </c>
      <c r="G40" s="69"/>
    </row>
    <row r="41">
      <c r="A41" s="66"/>
      <c r="B41" s="83"/>
      <c r="C41" s="30" t="s">
        <v>200</v>
      </c>
      <c r="D41" s="60">
        <v>5.0</v>
      </c>
      <c r="E41" s="30"/>
      <c r="F41" s="32">
        <v>8.0</v>
      </c>
      <c r="G41" s="30"/>
    </row>
    <row r="42">
      <c r="A42" s="69"/>
      <c r="B42" s="69"/>
      <c r="C42" s="69"/>
      <c r="D42" s="67"/>
      <c r="E42" s="69"/>
      <c r="F42" s="69"/>
      <c r="G42" s="69"/>
    </row>
    <row r="43">
      <c r="A43" s="66">
        <v>5.0</v>
      </c>
      <c r="B43" s="85" t="str">
        <f>'Sprint Goals'!B6</f>
        <v>Persistent Single-Prompt Agent Prototype</v>
      </c>
      <c r="C43" s="32" t="s">
        <v>201</v>
      </c>
      <c r="D43" s="86">
        <v>2.0</v>
      </c>
      <c r="E43" s="30"/>
      <c r="F43" s="32">
        <v>3.0</v>
      </c>
      <c r="G43" s="30"/>
    </row>
    <row r="44">
      <c r="A44" s="80"/>
      <c r="B44" s="84"/>
      <c r="C44" s="81" t="s">
        <v>202</v>
      </c>
      <c r="D44" s="87">
        <v>5.0</v>
      </c>
      <c r="E44" s="69"/>
      <c r="F44" s="87" t="s">
        <v>190</v>
      </c>
      <c r="G44" s="69"/>
    </row>
    <row r="45">
      <c r="A45" s="66"/>
      <c r="B45" s="83"/>
      <c r="C45" s="32" t="s">
        <v>203</v>
      </c>
      <c r="D45" s="86">
        <v>3.0</v>
      </c>
      <c r="E45" s="30"/>
      <c r="F45" s="32">
        <v>3.0</v>
      </c>
      <c r="G45" s="30"/>
    </row>
    <row r="46">
      <c r="A46" s="80"/>
      <c r="B46" s="84"/>
      <c r="C46" s="81" t="s">
        <v>204</v>
      </c>
      <c r="D46" s="87">
        <v>3.0</v>
      </c>
      <c r="E46" s="69"/>
      <c r="F46" s="81">
        <v>3.0</v>
      </c>
      <c r="G46" s="69"/>
    </row>
    <row r="47">
      <c r="A47" s="66"/>
      <c r="B47" s="83"/>
      <c r="C47" s="32" t="s">
        <v>205</v>
      </c>
      <c r="D47" s="86">
        <v>3.0</v>
      </c>
      <c r="E47" s="30"/>
      <c r="F47" s="32">
        <v>3.0</v>
      </c>
      <c r="G47" s="30"/>
    </row>
    <row r="48">
      <c r="A48" s="80"/>
      <c r="B48" s="84"/>
      <c r="C48" s="81" t="s">
        <v>206</v>
      </c>
      <c r="D48" s="87">
        <v>8.0</v>
      </c>
      <c r="E48" s="69"/>
      <c r="F48" s="81">
        <v>8.0</v>
      </c>
      <c r="G48" s="69"/>
    </row>
    <row r="49">
      <c r="A49" s="88"/>
      <c r="B49" s="83"/>
      <c r="C49" s="32" t="s">
        <v>207</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202</v>
      </c>
      <c r="D51" s="86">
        <v>5.0</v>
      </c>
      <c r="E51" s="30"/>
      <c r="F51" s="82" t="s">
        <v>190</v>
      </c>
      <c r="G51" s="30"/>
    </row>
    <row r="52">
      <c r="A52" s="80"/>
      <c r="B52" s="84"/>
      <c r="C52" s="81" t="s">
        <v>208</v>
      </c>
      <c r="D52" s="87">
        <v>2.0</v>
      </c>
      <c r="E52" s="69"/>
      <c r="F52" s="87">
        <v>3.0</v>
      </c>
      <c r="G52" s="69"/>
    </row>
    <row r="53">
      <c r="A53" s="66"/>
      <c r="B53" s="83"/>
      <c r="C53" s="32" t="s">
        <v>209</v>
      </c>
      <c r="D53" s="86">
        <v>5.0</v>
      </c>
      <c r="E53" s="30"/>
      <c r="F53" s="82">
        <v>5.0</v>
      </c>
      <c r="G53" s="30"/>
    </row>
    <row r="54">
      <c r="A54" s="80"/>
      <c r="B54" s="84"/>
      <c r="C54" s="81" t="s">
        <v>210</v>
      </c>
      <c r="D54" s="87">
        <v>8.0</v>
      </c>
      <c r="E54" s="69"/>
      <c r="F54" s="87">
        <v>8.0</v>
      </c>
      <c r="G54" s="69"/>
    </row>
    <row r="55">
      <c r="A55" s="66"/>
      <c r="B55" s="83"/>
      <c r="C55" s="32" t="s">
        <v>211</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212</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76.63"/>
    <col customWidth="1" min="3" max="3" width="80.5"/>
  </cols>
  <sheetData>
    <row r="1">
      <c r="A1" s="42" t="s">
        <v>162</v>
      </c>
      <c r="B1" s="4" t="s">
        <v>213</v>
      </c>
      <c r="C1" s="4" t="s">
        <v>214</v>
      </c>
    </row>
    <row r="2">
      <c r="A2" s="43">
        <v>1.0</v>
      </c>
      <c r="B2" s="43">
        <f>'Mid-Project Release plan'!F9</f>
        <v>1</v>
      </c>
      <c r="C2" s="43">
        <f t="array" ref="C2:C7">'Mid-Project Release plan'!D9:D14</f>
        <v>1</v>
      </c>
    </row>
    <row r="3">
      <c r="A3" s="43">
        <f t="shared" ref="A3:A14"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f>IF('Final Project Release plan'!F10=0, "", 'Final Project Release plan'!F10)</f>
        <v>18</v>
      </c>
      <c r="C9" s="43">
        <f>IF(OR('Final Project Release plan'!D10=0, B8=""), "", 'Final Project Release plan'!D10)</f>
        <v>24</v>
      </c>
    </row>
    <row r="10">
      <c r="A10" s="43">
        <f t="shared" si="1"/>
        <v>9</v>
      </c>
      <c r="B10" s="43">
        <f>IF('Final Project Release plan'!F11=0, "", 'Final Project Release plan'!F11)</f>
        <v>40</v>
      </c>
      <c r="C10" s="43">
        <f>IF(OR('Final Project Release plan'!D11=0, B9=""), "", 'Final Project Release plan'!D11)</f>
        <v>29</v>
      </c>
    </row>
    <row r="11">
      <c r="A11" s="43">
        <f t="shared" si="1"/>
        <v>10</v>
      </c>
      <c r="B11" s="43">
        <f>IF('Final Project Release plan'!F12=0, "", 'Final Project Release plan'!F12)</f>
        <v>33</v>
      </c>
      <c r="C11" s="43">
        <f>IF(OR('Final Project Release plan'!D12=0, B10=""), "", 'Final Project Release plan'!D12)</f>
        <v>31</v>
      </c>
    </row>
    <row r="12">
      <c r="A12" s="43">
        <f t="shared" si="1"/>
        <v>11</v>
      </c>
      <c r="B12" s="43">
        <f>IF('Final Project Release plan'!F13=0, "", 'Final Project Release plan'!F13)</f>
        <v>32</v>
      </c>
      <c r="C12" s="43">
        <f>IF(OR('Final Project Release plan'!D13=0, B11=""), "", 'Final Project Release plan'!D13)</f>
        <v>32</v>
      </c>
    </row>
    <row r="13">
      <c r="A13" s="43">
        <f t="shared" si="1"/>
        <v>12</v>
      </c>
      <c r="B13" s="43">
        <f>IF('Final Project Release plan'!F14=0, "", 'Final Project Release plan'!F14)</f>
        <v>26</v>
      </c>
      <c r="C13" s="43">
        <f>IF(OR('Final Project Release plan'!D14=0, B12=""), "", 'Final Project Release plan'!D14)</f>
        <v>36</v>
      </c>
    </row>
    <row r="14">
      <c r="A14" s="43">
        <f t="shared" si="1"/>
        <v>13</v>
      </c>
      <c r="B14" s="43" t="str">
        <f>IF('Final Project Release plan'!F15=0, "", 'Final Project Release plan'!F15)</f>
        <v/>
      </c>
      <c r="C14" s="43">
        <f>IF(OR('Final Project Release plan'!D15=0, B13=""), "", 'Final Project Release plan'!D15)</f>
        <v>45</v>
      </c>
    </row>
    <row r="15">
      <c r="A15" s="43"/>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215</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4" width="16.75"/>
    <col customWidth="1" min="5" max="7" width="15.75"/>
  </cols>
  <sheetData>
    <row r="1">
      <c r="A1" s="48" t="s">
        <v>174</v>
      </c>
      <c r="B1" s="91" t="s">
        <v>175</v>
      </c>
      <c r="C1" s="50" t="s">
        <v>176</v>
      </c>
      <c r="D1" s="51" t="s">
        <v>177</v>
      </c>
      <c r="E1" s="51" t="s">
        <v>178</v>
      </c>
      <c r="F1" s="51" t="s">
        <v>179</v>
      </c>
      <c r="G1" s="51" t="s">
        <v>180</v>
      </c>
    </row>
    <row r="2">
      <c r="A2" s="52"/>
      <c r="B2" s="54"/>
      <c r="C2" s="54"/>
      <c r="D2" s="54"/>
      <c r="E2" s="54"/>
      <c r="F2" s="54"/>
      <c r="G2" s="54"/>
    </row>
    <row r="3">
      <c r="A3" s="55" t="s">
        <v>181</v>
      </c>
      <c r="B3" s="57"/>
      <c r="C3" s="57"/>
      <c r="D3" s="57"/>
      <c r="E3" s="57"/>
      <c r="F3" s="57"/>
      <c r="G3" s="57"/>
    </row>
    <row r="4">
      <c r="A4" s="52"/>
      <c r="B4" s="54"/>
      <c r="C4" s="54"/>
      <c r="D4" s="54"/>
      <c r="E4" s="54"/>
      <c r="F4" s="54"/>
      <c r="G4" s="54"/>
    </row>
    <row r="5">
      <c r="A5" s="58" t="s">
        <v>182</v>
      </c>
      <c r="B5" s="30"/>
      <c r="C5" s="30"/>
      <c r="D5" s="60">
        <f>sum(D8:D15)</f>
        <v>227</v>
      </c>
      <c r="E5" s="60">
        <f>D5</f>
        <v>227</v>
      </c>
      <c r="F5" s="30"/>
      <c r="G5" s="30"/>
    </row>
    <row r="6">
      <c r="A6" s="52"/>
      <c r="B6" s="54"/>
      <c r="C6" s="54"/>
      <c r="D6" s="54"/>
      <c r="E6" s="54"/>
      <c r="F6" s="54"/>
      <c r="G6" s="54"/>
    </row>
    <row r="7">
      <c r="A7" s="61" t="s">
        <v>183</v>
      </c>
      <c r="B7" s="92"/>
      <c r="C7" s="63"/>
      <c r="D7" s="63"/>
      <c r="E7" s="63"/>
      <c r="F7" s="63"/>
      <c r="G7" s="63"/>
    </row>
    <row r="8">
      <c r="A8" s="64" t="s">
        <v>183</v>
      </c>
      <c r="B8" s="54"/>
      <c r="C8" s="54"/>
      <c r="D8" s="54"/>
      <c r="E8" s="93" t="s">
        <v>178</v>
      </c>
      <c r="G8" s="93" t="s">
        <v>180</v>
      </c>
    </row>
    <row r="9">
      <c r="A9" s="70">
        <v>7.0</v>
      </c>
      <c r="B9" s="30"/>
      <c r="C9" s="30"/>
      <c r="D9" s="60">
        <f>sum(D19:D24)</f>
        <v>30</v>
      </c>
      <c r="E9" s="60">
        <f>$D$5</f>
        <v>227</v>
      </c>
      <c r="F9" s="60">
        <f>sum(F19:F24)</f>
        <v>30</v>
      </c>
      <c r="G9" s="60">
        <f>$D$5</f>
        <v>227</v>
      </c>
    </row>
    <row r="10">
      <c r="A10" s="52">
        <f t="shared" ref="A10:A11" si="1">A9+1</f>
        <v>8</v>
      </c>
      <c r="B10" s="54"/>
      <c r="C10" s="54"/>
      <c r="D10" s="67">
        <f>SUM(D26:D32)</f>
        <v>24</v>
      </c>
      <c r="E10" s="67">
        <f t="shared" ref="E10:E15" si="2">E9-D9</f>
        <v>197</v>
      </c>
      <c r="F10" s="67">
        <f>SUM(F26:F32)</f>
        <v>18</v>
      </c>
      <c r="G10" s="67">
        <f t="shared" ref="G10:G15" si="3">G9-F9</f>
        <v>197</v>
      </c>
    </row>
    <row r="11">
      <c r="A11" s="66">
        <f t="shared" si="1"/>
        <v>9</v>
      </c>
      <c r="B11" s="30"/>
      <c r="C11" s="30"/>
      <c r="D11" s="60">
        <f>SUM(D34:D41)</f>
        <v>29</v>
      </c>
      <c r="E11" s="60">
        <f t="shared" si="2"/>
        <v>173</v>
      </c>
      <c r="F11" s="60">
        <f>SUM(F34:F41)</f>
        <v>40</v>
      </c>
      <c r="G11" s="60">
        <f t="shared" si="3"/>
        <v>179</v>
      </c>
    </row>
    <row r="12">
      <c r="A12" s="68">
        <v>10.0</v>
      </c>
      <c r="B12" s="54"/>
      <c r="C12" s="54"/>
      <c r="D12" s="54">
        <f>SUM(D43:D49)</f>
        <v>31</v>
      </c>
      <c r="E12" s="54">
        <f t="shared" si="2"/>
        <v>144</v>
      </c>
      <c r="F12" s="54">
        <f>SUM(F43:F49)</f>
        <v>33</v>
      </c>
      <c r="G12" s="54">
        <f t="shared" si="3"/>
        <v>139</v>
      </c>
    </row>
    <row r="13">
      <c r="A13" s="66">
        <v>11.0</v>
      </c>
      <c r="B13" s="30"/>
      <c r="C13" s="30"/>
      <c r="D13" s="30">
        <f>SUM(D51:D60)</f>
        <v>32</v>
      </c>
      <c r="E13" s="30">
        <f t="shared" si="2"/>
        <v>113</v>
      </c>
      <c r="F13" s="30">
        <f>SUM(F51:F60)</f>
        <v>32</v>
      </c>
      <c r="G13" s="30">
        <f t="shared" si="3"/>
        <v>106</v>
      </c>
    </row>
    <row r="14">
      <c r="A14" s="68">
        <v>12.0</v>
      </c>
      <c r="B14" s="54"/>
      <c r="C14" s="54"/>
      <c r="D14" s="54">
        <f>SUM(D61:D71)</f>
        <v>36</v>
      </c>
      <c r="E14" s="54">
        <f t="shared" si="2"/>
        <v>81</v>
      </c>
      <c r="F14" s="54">
        <f>SUM(F61:F71)</f>
        <v>26</v>
      </c>
      <c r="G14" s="54">
        <f t="shared" si="3"/>
        <v>74</v>
      </c>
    </row>
    <row r="15">
      <c r="A15" s="66">
        <v>13.0</v>
      </c>
      <c r="B15" s="30"/>
      <c r="C15" s="30"/>
      <c r="D15" s="30">
        <f>SUM(D74:D85)</f>
        <v>45</v>
      </c>
      <c r="E15" s="30">
        <f t="shared" si="2"/>
        <v>45</v>
      </c>
      <c r="F15" s="30">
        <f>SUM(F74:F85)</f>
        <v>0</v>
      </c>
      <c r="G15" s="30">
        <f t="shared" si="3"/>
        <v>48</v>
      </c>
    </row>
    <row r="16">
      <c r="A16" s="68"/>
      <c r="B16" s="54"/>
      <c r="C16" s="54"/>
      <c r="D16" s="54"/>
      <c r="E16" s="67"/>
      <c r="F16" s="54"/>
      <c r="G16" s="67"/>
    </row>
    <row r="17">
      <c r="A17" s="73" t="s">
        <v>184</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216</v>
      </c>
      <c r="D19" s="28">
        <v>3.0</v>
      </c>
      <c r="E19" s="54"/>
      <c r="F19" s="28">
        <v>3.0</v>
      </c>
      <c r="G19" s="54"/>
    </row>
    <row r="20">
      <c r="A20" s="66"/>
      <c r="B20" s="78"/>
      <c r="C20" s="32" t="s">
        <v>217</v>
      </c>
      <c r="D20" s="32">
        <v>8.0</v>
      </c>
      <c r="E20" s="30"/>
      <c r="F20" s="32">
        <v>8.0</v>
      </c>
      <c r="G20" s="30"/>
    </row>
    <row r="21">
      <c r="A21" s="52"/>
      <c r="B21" s="94"/>
      <c r="C21" s="81" t="s">
        <v>218</v>
      </c>
      <c r="D21" s="87">
        <v>5.0</v>
      </c>
      <c r="E21" s="53"/>
      <c r="F21" s="87">
        <v>5.0</v>
      </c>
      <c r="G21" s="53"/>
    </row>
    <row r="22">
      <c r="A22" s="66"/>
      <c r="B22" s="30"/>
      <c r="C22" s="30" t="s">
        <v>219</v>
      </c>
      <c r="D22" s="86">
        <v>8.0</v>
      </c>
      <c r="E22" s="30"/>
      <c r="F22" s="86">
        <v>8.0</v>
      </c>
      <c r="G22" s="30"/>
    </row>
    <row r="23">
      <c r="A23" s="80"/>
      <c r="B23" s="54"/>
      <c r="C23" s="81" t="s">
        <v>220</v>
      </c>
      <c r="D23" s="87">
        <v>3.0</v>
      </c>
      <c r="E23" s="69"/>
      <c r="F23" s="87">
        <v>3.0</v>
      </c>
      <c r="G23" s="69"/>
    </row>
    <row r="24">
      <c r="A24" s="66"/>
      <c r="B24" s="30"/>
      <c r="C24" s="32" t="s">
        <v>221</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202</v>
      </c>
      <c r="D26" s="86">
        <v>5.0</v>
      </c>
      <c r="E26" s="30"/>
      <c r="F26" s="86">
        <v>5.0</v>
      </c>
      <c r="G26" s="30"/>
    </row>
    <row r="27">
      <c r="A27" s="80"/>
      <c r="B27" s="54"/>
      <c r="C27" s="54" t="s">
        <v>222</v>
      </c>
      <c r="D27" s="54">
        <v>3.0</v>
      </c>
      <c r="E27" s="54"/>
      <c r="F27" s="28">
        <v>5.0</v>
      </c>
      <c r="G27" s="54"/>
    </row>
    <row r="28">
      <c r="A28" s="66"/>
      <c r="B28" s="30"/>
      <c r="C28" s="32" t="s">
        <v>223</v>
      </c>
      <c r="D28" s="86">
        <v>5.0</v>
      </c>
      <c r="E28" s="30"/>
      <c r="F28" s="86" t="s">
        <v>190</v>
      </c>
      <c r="G28" s="30"/>
    </row>
    <row r="29">
      <c r="A29" s="80"/>
      <c r="B29" s="54"/>
      <c r="C29" s="54" t="s">
        <v>224</v>
      </c>
      <c r="D29" s="54">
        <v>3.0</v>
      </c>
      <c r="E29" s="54"/>
      <c r="F29" s="28">
        <v>3.0</v>
      </c>
      <c r="G29" s="54"/>
    </row>
    <row r="30">
      <c r="A30" s="66"/>
      <c r="B30" s="30"/>
      <c r="C30" s="32" t="s">
        <v>225</v>
      </c>
      <c r="D30" s="86">
        <v>3.0</v>
      </c>
      <c r="E30" s="30"/>
      <c r="F30" s="86">
        <v>5.0</v>
      </c>
      <c r="G30" s="30"/>
    </row>
    <row r="31">
      <c r="A31" s="76"/>
      <c r="B31" s="54"/>
      <c r="C31" s="54" t="s">
        <v>226</v>
      </c>
      <c r="D31" s="54">
        <v>3.0</v>
      </c>
      <c r="E31" s="54"/>
      <c r="F31" s="96" t="s">
        <v>190</v>
      </c>
      <c r="G31" s="54"/>
    </row>
    <row r="32">
      <c r="A32" s="66"/>
      <c r="B32" s="78"/>
      <c r="C32" s="32" t="s">
        <v>227</v>
      </c>
      <c r="D32" s="86">
        <v>2.0</v>
      </c>
      <c r="E32" s="30"/>
      <c r="F32" s="86" t="s">
        <v>190</v>
      </c>
      <c r="G32" s="30"/>
    </row>
    <row r="33">
      <c r="A33" s="76"/>
      <c r="B33" s="54"/>
      <c r="C33" s="54"/>
      <c r="D33" s="54"/>
      <c r="E33" s="54"/>
      <c r="F33" s="54"/>
      <c r="G33" s="54"/>
    </row>
    <row r="34">
      <c r="A34" s="95">
        <f>A11</f>
        <v>9</v>
      </c>
      <c r="B34" s="97" t="str">
        <f>'Sprint Goals'!B10</f>
        <v>Conditional Multi-Agent Workflows &amp; Unified Processing</v>
      </c>
      <c r="C34" s="32" t="s">
        <v>228</v>
      </c>
      <c r="D34" s="86">
        <v>5.0</v>
      </c>
      <c r="E34" s="30"/>
      <c r="F34" s="86">
        <v>8.0</v>
      </c>
      <c r="G34" s="30"/>
    </row>
    <row r="35">
      <c r="A35" s="76"/>
      <c r="B35" s="54"/>
      <c r="C35" s="54" t="s">
        <v>229</v>
      </c>
      <c r="D35" s="54">
        <v>3.0</v>
      </c>
      <c r="E35" s="54"/>
      <c r="F35" s="28">
        <v>3.0</v>
      </c>
      <c r="G35" s="54"/>
    </row>
    <row r="36">
      <c r="A36" s="66"/>
      <c r="B36" s="78"/>
      <c r="C36" s="32" t="s">
        <v>230</v>
      </c>
      <c r="D36" s="86">
        <v>3.0</v>
      </c>
      <c r="E36" s="30"/>
      <c r="F36" s="86">
        <v>5.0</v>
      </c>
      <c r="G36" s="30"/>
    </row>
    <row r="37">
      <c r="A37" s="76"/>
      <c r="B37" s="54"/>
      <c r="C37" s="54" t="s">
        <v>231</v>
      </c>
      <c r="D37" s="54">
        <v>3.0</v>
      </c>
      <c r="E37" s="54"/>
      <c r="F37" s="28">
        <v>3.0</v>
      </c>
      <c r="G37" s="54"/>
    </row>
    <row r="38">
      <c r="A38" s="66"/>
      <c r="B38" s="78"/>
      <c r="C38" s="32" t="s">
        <v>232</v>
      </c>
      <c r="D38" s="86">
        <v>5.0</v>
      </c>
      <c r="E38" s="30"/>
      <c r="F38" s="86">
        <v>8.0</v>
      </c>
      <c r="G38" s="30"/>
    </row>
    <row r="39">
      <c r="A39" s="76"/>
      <c r="B39" s="54"/>
      <c r="C39" s="28" t="s">
        <v>223</v>
      </c>
      <c r="D39" s="28">
        <v>5.0</v>
      </c>
      <c r="E39" s="54"/>
      <c r="F39" s="28">
        <v>5.0</v>
      </c>
      <c r="G39" s="54"/>
    </row>
    <row r="40">
      <c r="A40" s="30"/>
      <c r="B40" s="86"/>
      <c r="C40" s="30" t="s">
        <v>226</v>
      </c>
      <c r="D40" s="86">
        <v>3.0</v>
      </c>
      <c r="E40" s="30"/>
      <c r="F40" s="86">
        <v>3.0</v>
      </c>
      <c r="G40" s="30"/>
    </row>
    <row r="41">
      <c r="A41" s="54"/>
      <c r="B41" s="54"/>
      <c r="C41" s="54" t="s">
        <v>227</v>
      </c>
      <c r="D41" s="54">
        <v>2.0</v>
      </c>
      <c r="E41" s="54"/>
      <c r="F41" s="28">
        <v>5.0</v>
      </c>
      <c r="G41" s="54"/>
    </row>
    <row r="42">
      <c r="A42" s="86"/>
      <c r="B42" s="86"/>
      <c r="C42" s="86"/>
      <c r="D42" s="86"/>
      <c r="E42" s="30"/>
      <c r="F42" s="86"/>
      <c r="G42" s="30"/>
    </row>
    <row r="43">
      <c r="A43" s="98">
        <v>10.0</v>
      </c>
      <c r="B43" s="54" t="str">
        <f>'Sprint Goals'!B11</f>
        <v>Open-Source Model Integration  &amp; Evaluation Framework</v>
      </c>
      <c r="C43" s="28" t="s">
        <v>233</v>
      </c>
      <c r="D43" s="28">
        <v>13.0</v>
      </c>
      <c r="E43" s="54"/>
      <c r="F43" s="28">
        <v>8.0</v>
      </c>
      <c r="G43" s="54"/>
    </row>
    <row r="44">
      <c r="A44" s="66"/>
      <c r="B44" s="78"/>
      <c r="C44" s="78" t="s">
        <v>234</v>
      </c>
      <c r="D44" s="86">
        <v>8.0</v>
      </c>
      <c r="E44" s="30"/>
      <c r="F44" s="86">
        <v>8.0</v>
      </c>
      <c r="G44" s="30"/>
    </row>
    <row r="45">
      <c r="A45" s="76"/>
      <c r="B45" s="54"/>
      <c r="C45" s="54" t="s">
        <v>235</v>
      </c>
      <c r="D45" s="54">
        <v>5.0</v>
      </c>
      <c r="E45" s="54"/>
      <c r="F45" s="28">
        <v>3.0</v>
      </c>
      <c r="G45" s="54"/>
    </row>
    <row r="46">
      <c r="A46" s="66"/>
      <c r="B46" s="78"/>
      <c r="C46" s="30" t="s">
        <v>236</v>
      </c>
      <c r="D46" s="30">
        <v>5.0</v>
      </c>
      <c r="E46" s="30"/>
      <c r="F46" s="86">
        <v>8.0</v>
      </c>
      <c r="G46" s="30"/>
    </row>
    <row r="47">
      <c r="A47" s="76"/>
      <c r="B47" s="54"/>
      <c r="C47" s="28" t="s">
        <v>237</v>
      </c>
      <c r="D47" s="81" t="s">
        <v>238</v>
      </c>
      <c r="E47" s="54"/>
      <c r="F47" s="28">
        <v>3.0</v>
      </c>
      <c r="G47" s="54"/>
    </row>
    <row r="48">
      <c r="A48" s="66"/>
      <c r="B48" s="78"/>
      <c r="C48" s="99" t="s">
        <v>239</v>
      </c>
      <c r="D48" s="99" t="s">
        <v>238</v>
      </c>
      <c r="E48" s="30"/>
      <c r="F48" s="86">
        <v>3.0</v>
      </c>
      <c r="G48" s="30"/>
    </row>
    <row r="49">
      <c r="A49" s="76"/>
      <c r="B49" s="54"/>
      <c r="C49" s="54"/>
      <c r="D49" s="54"/>
      <c r="E49" s="54"/>
      <c r="F49" s="54"/>
      <c r="G49" s="54"/>
    </row>
    <row r="50">
      <c r="A50" s="66"/>
      <c r="B50" s="78"/>
      <c r="C50" s="30"/>
      <c r="D50" s="30"/>
      <c r="E50" s="30"/>
      <c r="F50" s="86"/>
      <c r="G50" s="30"/>
    </row>
    <row r="51">
      <c r="A51" s="76">
        <v>11.0</v>
      </c>
      <c r="B51" s="54" t="str">
        <f>'Sprint Goals'!B12</f>
        <v>System Hardening &amp; Benchmarking</v>
      </c>
      <c r="C51" s="28" t="s">
        <v>240</v>
      </c>
      <c r="D51" s="28">
        <v>5.0</v>
      </c>
      <c r="E51" s="54"/>
      <c r="F51" s="100" t="s">
        <v>190</v>
      </c>
      <c r="G51" s="54"/>
    </row>
    <row r="52">
      <c r="A52" s="66"/>
      <c r="B52" s="78"/>
      <c r="C52" s="78" t="s">
        <v>241</v>
      </c>
      <c r="D52" s="86">
        <v>8.0</v>
      </c>
      <c r="E52" s="30"/>
      <c r="F52" s="86">
        <v>8.0</v>
      </c>
      <c r="G52" s="30"/>
    </row>
    <row r="53">
      <c r="A53" s="76"/>
      <c r="B53" s="54"/>
      <c r="C53" s="54" t="s">
        <v>242</v>
      </c>
      <c r="D53" s="54">
        <v>8.0</v>
      </c>
      <c r="E53" s="54"/>
      <c r="F53" s="54">
        <v>13.0</v>
      </c>
      <c r="G53" s="54"/>
    </row>
    <row r="54">
      <c r="A54" s="66"/>
      <c r="B54" s="78"/>
      <c r="C54" s="30" t="s">
        <v>243</v>
      </c>
      <c r="D54" s="30">
        <v>3.0</v>
      </c>
      <c r="E54" s="30"/>
      <c r="F54" s="86">
        <v>3.0</v>
      </c>
      <c r="G54" s="30"/>
    </row>
    <row r="55">
      <c r="A55" s="76"/>
      <c r="B55" s="54"/>
      <c r="C55" s="28" t="s">
        <v>244</v>
      </c>
      <c r="D55" s="28">
        <v>8.0</v>
      </c>
      <c r="E55" s="54"/>
      <c r="F55" s="54">
        <v>5.0</v>
      </c>
      <c r="G55" s="54"/>
    </row>
    <row r="56">
      <c r="A56" s="66"/>
      <c r="B56" s="78"/>
      <c r="C56" s="99" t="s">
        <v>245</v>
      </c>
      <c r="D56" s="99" t="s">
        <v>238</v>
      </c>
      <c r="E56" s="30"/>
      <c r="F56" s="86">
        <v>3.0</v>
      </c>
      <c r="G56" s="30"/>
    </row>
    <row r="57">
      <c r="A57" s="76"/>
      <c r="B57" s="54"/>
      <c r="C57" s="28"/>
      <c r="D57" s="54"/>
      <c r="E57" s="54"/>
      <c r="F57" s="54"/>
      <c r="G57" s="54"/>
    </row>
    <row r="58">
      <c r="A58" s="66"/>
      <c r="B58" s="78"/>
      <c r="C58" s="30"/>
      <c r="D58" s="30"/>
      <c r="E58" s="30"/>
      <c r="F58" s="86"/>
      <c r="G58" s="30"/>
    </row>
    <row r="59">
      <c r="A59" s="54"/>
      <c r="B59" s="54"/>
      <c r="C59" s="28"/>
      <c r="D59" s="28"/>
      <c r="E59" s="54"/>
      <c r="F59" s="54"/>
      <c r="G59" s="54"/>
    </row>
    <row r="60">
      <c r="A60" s="30"/>
      <c r="B60" s="30"/>
      <c r="C60" s="78"/>
      <c r="D60" s="86"/>
      <c r="E60" s="30"/>
      <c r="F60" s="86"/>
      <c r="G60" s="30"/>
    </row>
    <row r="61">
      <c r="A61" s="76">
        <v>12.0</v>
      </c>
      <c r="B61" s="54" t="str">
        <f>'Sprint Goals'!B13</f>
        <v>Polishing &amp; Demo Day Prep</v>
      </c>
      <c r="C61" s="28" t="s">
        <v>246</v>
      </c>
      <c r="D61" s="54">
        <v>5.0</v>
      </c>
      <c r="E61" s="54"/>
      <c r="F61" s="96" t="s">
        <v>247</v>
      </c>
      <c r="G61" s="54"/>
    </row>
    <row r="62">
      <c r="A62" s="66"/>
      <c r="B62" s="78"/>
      <c r="C62" s="30" t="s">
        <v>248</v>
      </c>
      <c r="D62" s="30">
        <v>8.0</v>
      </c>
      <c r="E62" s="32"/>
      <c r="F62" s="86">
        <v>8.0</v>
      </c>
      <c r="G62" s="30"/>
    </row>
    <row r="63">
      <c r="A63" s="76"/>
      <c r="B63" s="54"/>
      <c r="C63" s="54" t="s">
        <v>249</v>
      </c>
      <c r="D63" s="54">
        <v>5.0</v>
      </c>
      <c r="E63" s="54"/>
      <c r="F63" s="100" t="s">
        <v>190</v>
      </c>
      <c r="G63" s="54"/>
    </row>
    <row r="64">
      <c r="A64" s="66"/>
      <c r="B64" s="78"/>
      <c r="C64" s="30" t="s">
        <v>250</v>
      </c>
      <c r="D64" s="30">
        <v>5.0</v>
      </c>
      <c r="E64" s="32"/>
      <c r="F64" s="86">
        <v>5.0</v>
      </c>
      <c r="G64" s="30"/>
    </row>
    <row r="65">
      <c r="A65" s="76"/>
      <c r="B65" s="54"/>
      <c r="C65" s="54" t="s">
        <v>251</v>
      </c>
      <c r="D65" s="54">
        <v>5.0</v>
      </c>
      <c r="E65" s="28"/>
      <c r="F65" s="28">
        <v>5.0</v>
      </c>
      <c r="G65" s="54"/>
    </row>
    <row r="66">
      <c r="A66" s="66"/>
      <c r="B66" s="78"/>
      <c r="C66" s="30" t="s">
        <v>252</v>
      </c>
      <c r="D66" s="30">
        <v>3.0</v>
      </c>
      <c r="E66" s="32"/>
      <c r="F66" s="86">
        <v>3.0</v>
      </c>
      <c r="G66" s="30"/>
    </row>
    <row r="67">
      <c r="A67" s="76"/>
      <c r="B67" s="54"/>
      <c r="C67" s="54" t="s">
        <v>240</v>
      </c>
      <c r="D67" s="54">
        <v>5.0</v>
      </c>
      <c r="E67" s="54"/>
      <c r="F67" s="100" t="s">
        <v>190</v>
      </c>
      <c r="G67" s="54"/>
    </row>
    <row r="68">
      <c r="A68" s="66"/>
      <c r="B68" s="78"/>
      <c r="C68" s="32" t="s">
        <v>253</v>
      </c>
      <c r="D68" s="99" t="s">
        <v>238</v>
      </c>
      <c r="E68" s="32"/>
      <c r="F68" s="86">
        <v>5.0</v>
      </c>
      <c r="G68" s="30"/>
    </row>
    <row r="69">
      <c r="A69" s="76"/>
      <c r="B69" s="54"/>
      <c r="C69" s="54"/>
      <c r="D69" s="54"/>
      <c r="E69" s="54"/>
      <c r="F69" s="54"/>
      <c r="G69" s="54"/>
    </row>
    <row r="70">
      <c r="A70" s="30"/>
      <c r="B70" s="30"/>
      <c r="C70" s="30"/>
      <c r="D70" s="32"/>
      <c r="E70" s="30"/>
      <c r="F70" s="86"/>
      <c r="G70" s="30"/>
    </row>
    <row r="71">
      <c r="A71" s="54"/>
      <c r="B71" s="54"/>
      <c r="C71" s="54"/>
      <c r="D71" s="54"/>
      <c r="E71" s="54"/>
      <c r="F71" s="54"/>
      <c r="G71" s="54"/>
    </row>
    <row r="72">
      <c r="A72" s="86"/>
      <c r="B72" s="86"/>
      <c r="C72" s="30"/>
      <c r="D72" s="32"/>
      <c r="E72" s="30"/>
      <c r="F72" s="86"/>
      <c r="G72" s="30"/>
    </row>
    <row r="73">
      <c r="A73" s="54"/>
      <c r="B73" s="54"/>
      <c r="C73" s="54"/>
      <c r="D73" s="54"/>
      <c r="E73" s="54"/>
      <c r="F73" s="54"/>
      <c r="G73" s="54"/>
    </row>
    <row r="74">
      <c r="A74" s="95">
        <v>13.0</v>
      </c>
      <c r="B74" s="78" t="str">
        <f>'Sprint Goals'!B14</f>
        <v>Handover &amp; Documentation</v>
      </c>
      <c r="C74" s="30" t="s">
        <v>254</v>
      </c>
      <c r="D74" s="32">
        <v>3.0</v>
      </c>
      <c r="E74" s="30"/>
      <c r="F74" s="30"/>
      <c r="G74" s="30"/>
    </row>
    <row r="75">
      <c r="A75" s="76"/>
      <c r="B75" s="54"/>
      <c r="C75" s="54" t="s">
        <v>255</v>
      </c>
      <c r="D75" s="54">
        <v>3.0</v>
      </c>
      <c r="E75" s="54"/>
      <c r="F75" s="69"/>
      <c r="G75" s="69"/>
    </row>
    <row r="76">
      <c r="A76" s="66"/>
      <c r="B76" s="78"/>
      <c r="C76" s="30" t="s">
        <v>256</v>
      </c>
      <c r="D76" s="32">
        <v>5.0</v>
      </c>
      <c r="E76" s="30"/>
      <c r="F76" s="30"/>
      <c r="G76" s="30"/>
    </row>
    <row r="77">
      <c r="A77" s="76"/>
      <c r="B77" s="54"/>
      <c r="C77" s="54" t="s">
        <v>257</v>
      </c>
      <c r="D77" s="54">
        <v>2.0</v>
      </c>
      <c r="E77" s="69"/>
      <c r="F77" s="69"/>
      <c r="G77" s="69"/>
    </row>
    <row r="78">
      <c r="A78" s="66"/>
      <c r="B78" s="78"/>
      <c r="C78" s="30" t="s">
        <v>258</v>
      </c>
      <c r="D78" s="32">
        <v>3.0</v>
      </c>
      <c r="E78" s="30"/>
      <c r="F78" s="30"/>
      <c r="G78" s="30"/>
    </row>
    <row r="79">
      <c r="A79" s="76"/>
      <c r="B79" s="54"/>
      <c r="C79" s="54" t="s">
        <v>249</v>
      </c>
      <c r="D79" s="54">
        <v>5.0</v>
      </c>
      <c r="E79" s="69"/>
      <c r="F79" s="69"/>
      <c r="G79" s="69"/>
    </row>
    <row r="80">
      <c r="A80" s="66"/>
      <c r="B80" s="30"/>
      <c r="C80" s="30" t="s">
        <v>240</v>
      </c>
      <c r="D80" s="32">
        <v>8.0</v>
      </c>
      <c r="E80" s="30"/>
      <c r="F80" s="30"/>
      <c r="G80" s="30"/>
    </row>
    <row r="81">
      <c r="A81" s="80"/>
      <c r="B81" s="54"/>
      <c r="C81" s="54" t="s">
        <v>259</v>
      </c>
      <c r="D81" s="54">
        <v>5.0</v>
      </c>
      <c r="E81" s="54"/>
      <c r="F81" s="54"/>
      <c r="G81" s="54"/>
    </row>
    <row r="82">
      <c r="A82" s="66"/>
      <c r="B82" s="30"/>
      <c r="C82" s="30" t="s">
        <v>260</v>
      </c>
      <c r="D82" s="32">
        <v>3.0</v>
      </c>
      <c r="E82" s="30"/>
      <c r="F82" s="30"/>
      <c r="G82" s="30"/>
    </row>
    <row r="83">
      <c r="A83" s="80"/>
      <c r="B83" s="54"/>
      <c r="C83" s="54" t="s">
        <v>246</v>
      </c>
      <c r="D83" s="54">
        <v>5.0</v>
      </c>
      <c r="E83" s="54"/>
      <c r="F83" s="54"/>
      <c r="G83" s="54"/>
    </row>
    <row r="84">
      <c r="A84" s="66"/>
      <c r="B84" s="30"/>
      <c r="C84" s="30" t="s">
        <v>261</v>
      </c>
      <c r="D84" s="32">
        <v>3.0</v>
      </c>
      <c r="E84" s="30"/>
      <c r="F84" s="30"/>
      <c r="G84" s="30"/>
    </row>
    <row r="85">
      <c r="A85" s="80"/>
      <c r="B85" s="54"/>
      <c r="C85" s="28"/>
      <c r="D85" s="81"/>
      <c r="E85" s="54"/>
      <c r="F85" s="54"/>
      <c r="G85" s="54"/>
    </row>
    <row r="86">
      <c r="A86" s="66"/>
      <c r="B86" s="30"/>
      <c r="C86" s="30"/>
      <c r="D86" s="32"/>
      <c r="E86" s="30"/>
      <c r="F86" s="30"/>
      <c r="G86" s="30"/>
    </row>
    <row r="87">
      <c r="A87" s="80"/>
      <c r="B87" s="54"/>
      <c r="C87" s="54"/>
      <c r="D87" s="54"/>
      <c r="E87" s="54"/>
      <c r="F87" s="54"/>
      <c r="G87" s="54"/>
    </row>
    <row r="88">
      <c r="A88" s="66"/>
      <c r="B88" s="30"/>
      <c r="C88" s="30"/>
      <c r="D88" s="32"/>
      <c r="E88" s="30"/>
      <c r="F88" s="30"/>
      <c r="G88" s="30"/>
    </row>
    <row r="89">
      <c r="A89" s="80"/>
      <c r="B89" s="54"/>
      <c r="C89" s="54"/>
      <c r="D89" s="54"/>
      <c r="E89" s="54"/>
      <c r="F89" s="54"/>
      <c r="G89" s="54"/>
    </row>
    <row r="90">
      <c r="A90" s="66"/>
      <c r="B90" s="30"/>
      <c r="C90" s="30"/>
      <c r="D90" s="86"/>
      <c r="E90" s="30"/>
      <c r="F90" s="30"/>
      <c r="G90" s="30"/>
    </row>
    <row r="91">
      <c r="A91" s="80"/>
      <c r="B91" s="54"/>
      <c r="C91" s="54"/>
      <c r="D91" s="54"/>
      <c r="E91" s="54"/>
      <c r="F91" s="54"/>
      <c r="G91" s="54"/>
    </row>
    <row r="92">
      <c r="A92" s="80"/>
      <c r="B92" s="54"/>
      <c r="C92" s="54"/>
      <c r="D92" s="54"/>
      <c r="E92" s="54"/>
      <c r="F92" s="54"/>
      <c r="G92" s="54"/>
    </row>
    <row r="93">
      <c r="A93" s="80"/>
      <c r="B93" s="54"/>
      <c r="C93" s="28"/>
      <c r="D93" s="54"/>
      <c r="E93" s="54"/>
      <c r="F93" s="54"/>
      <c r="G93" s="54"/>
    </row>
    <row r="94">
      <c r="A94" s="80"/>
      <c r="B94" s="54"/>
      <c r="C94" s="28" t="s">
        <v>262</v>
      </c>
      <c r="D94" s="54"/>
      <c r="E94" s="54"/>
      <c r="F94" s="54"/>
      <c r="G94" s="54"/>
    </row>
    <row r="95">
      <c r="A95" s="80"/>
      <c r="B95" s="54"/>
      <c r="C95" s="54" t="s">
        <v>263</v>
      </c>
      <c r="D95" s="54"/>
      <c r="E95" s="54"/>
      <c r="F95" s="54"/>
      <c r="G95" s="54"/>
    </row>
    <row r="96">
      <c r="A96" s="80"/>
      <c r="B96" s="54"/>
      <c r="C96" s="101" t="s">
        <v>264</v>
      </c>
      <c r="D96" s="54"/>
      <c r="E96" s="54"/>
      <c r="F96" s="54"/>
      <c r="G96" s="54"/>
    </row>
    <row r="97">
      <c r="A97" s="80"/>
      <c r="B97" s="54"/>
      <c r="C97" s="54"/>
      <c r="D97" s="54"/>
      <c r="E97" s="54"/>
      <c r="F97" s="54"/>
      <c r="G97" s="54"/>
    </row>
    <row r="98">
      <c r="A98" s="80"/>
      <c r="B98" s="54"/>
      <c r="C98" s="102" t="s">
        <v>212</v>
      </c>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103" t="s">
        <v>69</v>
      </c>
      <c r="B1" s="49" t="s">
        <v>265</v>
      </c>
      <c r="C1" s="49" t="s">
        <v>266</v>
      </c>
      <c r="D1" s="104" t="s">
        <v>267</v>
      </c>
    </row>
    <row r="2">
      <c r="A2" s="2"/>
      <c r="B2" s="2" t="s">
        <v>268</v>
      </c>
      <c r="C2" s="3"/>
      <c r="D2" s="3"/>
    </row>
    <row r="3">
      <c r="A3" s="3"/>
      <c r="B3" s="2" t="s">
        <v>269</v>
      </c>
      <c r="C3" s="3"/>
      <c r="D3" s="3"/>
    </row>
    <row r="4">
      <c r="A4" s="3"/>
      <c r="B4" s="2" t="s">
        <v>270</v>
      </c>
      <c r="C4" s="3"/>
      <c r="D4" s="3"/>
    </row>
    <row r="5">
      <c r="A5" s="3"/>
      <c r="B5" s="2" t="s">
        <v>271</v>
      </c>
      <c r="C5" s="3"/>
      <c r="D5" s="3"/>
    </row>
    <row r="6">
      <c r="A6" s="3"/>
      <c r="B6" s="3"/>
      <c r="C6" s="2" t="s">
        <v>272</v>
      </c>
      <c r="D6" s="3"/>
    </row>
    <row r="7">
      <c r="A7" s="3"/>
      <c r="B7" s="3"/>
      <c r="C7" s="2" t="s">
        <v>273</v>
      </c>
      <c r="D7" s="3"/>
    </row>
    <row r="8">
      <c r="A8" s="3"/>
      <c r="B8" s="3"/>
      <c r="C8" s="2" t="s">
        <v>274</v>
      </c>
    </row>
    <row r="9">
      <c r="A9" s="3"/>
      <c r="B9" s="3"/>
      <c r="C9" s="3"/>
      <c r="D9" s="2" t="s">
        <v>275</v>
      </c>
    </row>
    <row r="10">
      <c r="A10" s="3"/>
      <c r="B10" s="3"/>
      <c r="C10" s="3"/>
      <c r="D10" s="2" t="s">
        <v>276</v>
      </c>
    </row>
    <row r="11">
      <c r="A11" s="3"/>
      <c r="B11" s="3"/>
      <c r="C11" s="3"/>
      <c r="D11" s="2" t="s">
        <v>277</v>
      </c>
    </row>
    <row r="12">
      <c r="A12" s="3"/>
      <c r="B12" s="3"/>
      <c r="C12" s="3"/>
      <c r="D12" s="2" t="s">
        <v>278</v>
      </c>
    </row>
    <row r="13">
      <c r="A13" s="3"/>
      <c r="B13" s="3"/>
      <c r="C13" s="3"/>
      <c r="D13" s="2" t="s">
        <v>279</v>
      </c>
    </row>
    <row r="14">
      <c r="A14" s="3"/>
      <c r="B14" s="3"/>
      <c r="C14" s="3"/>
      <c r="D14" s="2" t="s">
        <v>280</v>
      </c>
    </row>
    <row r="15">
      <c r="A15" s="3"/>
      <c r="B15" s="3"/>
      <c r="C15" s="3"/>
      <c r="D15" s="2" t="s">
        <v>281</v>
      </c>
    </row>
    <row r="16">
      <c r="A16" s="3"/>
      <c r="B16" s="3"/>
      <c r="C16" s="3"/>
      <c r="D16" s="2" t="s">
        <v>282</v>
      </c>
    </row>
    <row r="17">
      <c r="A17" s="3"/>
      <c r="B17" s="3"/>
      <c r="C17" s="3"/>
      <c r="D17" s="2" t="s">
        <v>283</v>
      </c>
    </row>
    <row r="18">
      <c r="A18" s="3"/>
      <c r="B18" s="3"/>
      <c r="C18" s="3"/>
      <c r="D18" s="2" t="s">
        <v>284</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285</v>
      </c>
      <c r="B1" s="4" t="s">
        <v>286</v>
      </c>
    </row>
    <row r="2">
      <c r="A2" s="2" t="s">
        <v>287</v>
      </c>
      <c r="B2" s="8" t="s">
        <v>17</v>
      </c>
    </row>
    <row r="3">
      <c r="A3" s="2" t="s">
        <v>288</v>
      </c>
      <c r="B3" s="5" t="s">
        <v>289</v>
      </c>
    </row>
    <row r="4">
      <c r="A4" s="2" t="s">
        <v>290</v>
      </c>
      <c r="B4" s="5" t="s">
        <v>291</v>
      </c>
    </row>
    <row r="5">
      <c r="A5" s="2" t="s">
        <v>292</v>
      </c>
      <c r="B5" s="6" t="s">
        <v>293</v>
      </c>
    </row>
    <row r="6">
      <c r="A6" s="2" t="s">
        <v>294</v>
      </c>
      <c r="B6" s="5" t="s">
        <v>9</v>
      </c>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 r:id="rId2" ref="B3"/>
    <hyperlink r:id="rId3" ref="B4"/>
    <hyperlink r:id="rId4" ref="B5"/>
    <hyperlink r:id="rId5" ref="B6"/>
  </hyperlinks>
  <drawing r:id="rId6"/>
  <tableParts count="1">
    <tablePart r:id="rId8"/>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7" max="7" width="25.63"/>
  </cols>
  <sheetData>
    <row r="1">
      <c r="A1" s="7" t="s">
        <v>69</v>
      </c>
      <c r="B1" s="7" t="s">
        <v>295</v>
      </c>
      <c r="C1" s="7" t="s">
        <v>296</v>
      </c>
      <c r="D1" s="7" t="s">
        <v>297</v>
      </c>
      <c r="E1" s="7" t="s">
        <v>298</v>
      </c>
      <c r="G1" s="35" t="s">
        <v>299</v>
      </c>
    </row>
    <row r="2">
      <c r="A2" s="35">
        <v>1.0</v>
      </c>
      <c r="B2" s="35" t="s">
        <v>300</v>
      </c>
      <c r="C2" s="35" t="s">
        <v>301</v>
      </c>
      <c r="D2" s="35" t="s">
        <v>302</v>
      </c>
      <c r="E2" s="35" t="s">
        <v>303</v>
      </c>
    </row>
    <row r="3">
      <c r="A3" s="35">
        <v>2.0</v>
      </c>
      <c r="B3" s="35" t="s">
        <v>300</v>
      </c>
      <c r="C3" s="35" t="s">
        <v>304</v>
      </c>
      <c r="D3" s="35" t="s">
        <v>305</v>
      </c>
      <c r="E3" s="35" t="s">
        <v>306</v>
      </c>
    </row>
    <row r="4">
      <c r="A4" s="35">
        <v>3.0</v>
      </c>
      <c r="B4" s="35" t="s">
        <v>300</v>
      </c>
      <c r="C4" s="35" t="s">
        <v>307</v>
      </c>
      <c r="D4" s="35" t="s">
        <v>308</v>
      </c>
      <c r="E4" s="35" t="s">
        <v>306</v>
      </c>
    </row>
    <row r="5">
      <c r="A5" s="35">
        <v>4.0</v>
      </c>
      <c r="B5" s="35" t="s">
        <v>300</v>
      </c>
      <c r="C5" s="35" t="s">
        <v>307</v>
      </c>
      <c r="D5" s="35" t="s">
        <v>309</v>
      </c>
      <c r="E5" s="35" t="s">
        <v>306</v>
      </c>
    </row>
    <row r="6">
      <c r="A6" s="35">
        <v>5.0</v>
      </c>
      <c r="B6" s="35" t="s">
        <v>300</v>
      </c>
      <c r="C6" s="35" t="s">
        <v>310</v>
      </c>
      <c r="D6" s="35" t="s">
        <v>311</v>
      </c>
      <c r="E6" s="35" t="s">
        <v>306</v>
      </c>
    </row>
    <row r="7">
      <c r="A7" s="35">
        <v>6.0</v>
      </c>
      <c r="B7" s="35" t="s">
        <v>300</v>
      </c>
      <c r="C7" s="35" t="s">
        <v>312</v>
      </c>
      <c r="D7" s="35" t="s">
        <v>313</v>
      </c>
      <c r="E7" s="35" t="s">
        <v>306</v>
      </c>
    </row>
    <row r="8">
      <c r="A8" s="35">
        <v>7.0</v>
      </c>
      <c r="B8" s="35" t="s">
        <v>300</v>
      </c>
      <c r="C8" s="35" t="s">
        <v>314</v>
      </c>
      <c r="D8" s="35" t="s">
        <v>315</v>
      </c>
      <c r="E8" s="35" t="s">
        <v>316</v>
      </c>
    </row>
    <row r="9">
      <c r="A9" s="35">
        <v>8.0</v>
      </c>
      <c r="B9" s="35" t="s">
        <v>300</v>
      </c>
      <c r="C9" s="35" t="s">
        <v>317</v>
      </c>
      <c r="D9" s="35" t="s">
        <v>318</v>
      </c>
      <c r="E9" s="35" t="s">
        <v>316</v>
      </c>
    </row>
    <row r="10">
      <c r="A10" s="35">
        <v>9.0</v>
      </c>
      <c r="B10" s="35" t="s">
        <v>300</v>
      </c>
      <c r="C10" s="35" t="s">
        <v>319</v>
      </c>
      <c r="D10" s="35" t="s">
        <v>320</v>
      </c>
      <c r="E10" s="35" t="s">
        <v>316</v>
      </c>
    </row>
    <row r="11">
      <c r="A11" s="35">
        <v>10.0</v>
      </c>
      <c r="B11" s="35" t="s">
        <v>300</v>
      </c>
      <c r="C11" s="35" t="s">
        <v>321</v>
      </c>
      <c r="D11" s="35" t="s">
        <v>322</v>
      </c>
      <c r="E11" s="35" t="s">
        <v>316</v>
      </c>
    </row>
    <row r="12">
      <c r="A12" s="35">
        <v>11.0</v>
      </c>
      <c r="B12" s="35" t="s">
        <v>300</v>
      </c>
      <c r="C12" s="35" t="s">
        <v>323</v>
      </c>
      <c r="D12" s="35" t="s">
        <v>324</v>
      </c>
      <c r="E12" s="35" t="s">
        <v>316</v>
      </c>
    </row>
    <row r="13">
      <c r="A13" s="35">
        <v>12.0</v>
      </c>
      <c r="B13" s="35" t="s">
        <v>300</v>
      </c>
      <c r="C13" s="35" t="s">
        <v>325</v>
      </c>
      <c r="D13" s="35" t="s">
        <v>322</v>
      </c>
      <c r="E13" s="35" t="s">
        <v>306</v>
      </c>
    </row>
    <row r="14">
      <c r="A14" s="35">
        <v>13.0</v>
      </c>
      <c r="B14" s="35" t="s">
        <v>300</v>
      </c>
      <c r="C14" s="35" t="s">
        <v>326</v>
      </c>
      <c r="D14" s="35" t="s">
        <v>327</v>
      </c>
      <c r="E14" s="35" t="s">
        <v>306</v>
      </c>
    </row>
    <row r="15">
      <c r="A15" s="35">
        <v>14.0</v>
      </c>
      <c r="B15" s="35" t="s">
        <v>300</v>
      </c>
      <c r="C15" s="35" t="s">
        <v>326</v>
      </c>
      <c r="D15" s="35" t="s">
        <v>328</v>
      </c>
      <c r="E15" s="35" t="s">
        <v>306</v>
      </c>
      <c r="J15" s="105"/>
    </row>
    <row r="16">
      <c r="A16" s="35">
        <v>15.0</v>
      </c>
      <c r="B16" s="35" t="s">
        <v>300</v>
      </c>
      <c r="C16" s="35" t="s">
        <v>329</v>
      </c>
      <c r="D16" s="35" t="s">
        <v>330</v>
      </c>
      <c r="E16" s="35" t="s">
        <v>306</v>
      </c>
    </row>
    <row r="17">
      <c r="A17" s="35">
        <v>16.0</v>
      </c>
      <c r="B17" s="35" t="s">
        <v>300</v>
      </c>
      <c r="C17" s="35" t="s">
        <v>331</v>
      </c>
      <c r="D17" s="35" t="s">
        <v>332</v>
      </c>
      <c r="E17" s="35" t="s">
        <v>306</v>
      </c>
    </row>
    <row r="18">
      <c r="A18" s="35">
        <v>17.0</v>
      </c>
      <c r="B18" s="35" t="s">
        <v>300</v>
      </c>
      <c r="C18" s="35" t="s">
        <v>333</v>
      </c>
      <c r="D18" s="35" t="s">
        <v>334</v>
      </c>
      <c r="E18" s="35" t="s">
        <v>306</v>
      </c>
    </row>
    <row r="19">
      <c r="A19" s="35">
        <v>18.0</v>
      </c>
      <c r="B19" s="35" t="s">
        <v>300</v>
      </c>
      <c r="C19" s="35" t="s">
        <v>333</v>
      </c>
      <c r="D19" s="35" t="s">
        <v>335</v>
      </c>
      <c r="E19" s="35" t="s">
        <v>306</v>
      </c>
    </row>
    <row r="20">
      <c r="A20" s="35">
        <v>19.0</v>
      </c>
      <c r="B20" s="35" t="s">
        <v>300</v>
      </c>
      <c r="C20" s="35" t="s">
        <v>336</v>
      </c>
      <c r="D20" s="35" t="s">
        <v>330</v>
      </c>
      <c r="E20" s="35" t="s">
        <v>306</v>
      </c>
    </row>
    <row r="21">
      <c r="A21" s="35">
        <v>20.0</v>
      </c>
      <c r="B21" s="35" t="s">
        <v>300</v>
      </c>
      <c r="C21" s="35" t="s">
        <v>337</v>
      </c>
      <c r="D21" s="35" t="s">
        <v>330</v>
      </c>
      <c r="E21" s="35" t="s">
        <v>306</v>
      </c>
    </row>
    <row r="22">
      <c r="A22" s="35">
        <v>21.0</v>
      </c>
      <c r="B22" s="35" t="s">
        <v>300</v>
      </c>
      <c r="C22" s="35" t="s">
        <v>338</v>
      </c>
      <c r="D22" s="35" t="s">
        <v>339</v>
      </c>
      <c r="E22" s="35" t="s">
        <v>306</v>
      </c>
    </row>
    <row r="23">
      <c r="A23" s="35">
        <v>22.0</v>
      </c>
      <c r="B23" s="35" t="s">
        <v>300</v>
      </c>
      <c r="C23" s="35" t="s">
        <v>340</v>
      </c>
      <c r="D23" s="35" t="s">
        <v>341</v>
      </c>
      <c r="E23" s="35" t="s">
        <v>306</v>
      </c>
    </row>
    <row r="24">
      <c r="A24" s="35">
        <v>23.0</v>
      </c>
      <c r="B24" s="35" t="s">
        <v>300</v>
      </c>
      <c r="C24" s="35" t="s">
        <v>342</v>
      </c>
      <c r="D24" s="35" t="s">
        <v>343</v>
      </c>
      <c r="E24" s="35" t="s">
        <v>306</v>
      </c>
    </row>
    <row r="25">
      <c r="A25" s="35">
        <v>24.0</v>
      </c>
      <c r="B25" s="35" t="s">
        <v>300</v>
      </c>
      <c r="C25" s="35" t="s">
        <v>344</v>
      </c>
      <c r="D25" s="35" t="s">
        <v>330</v>
      </c>
      <c r="E25" s="35" t="s">
        <v>306</v>
      </c>
    </row>
    <row r="26">
      <c r="A26" s="35">
        <v>25.0</v>
      </c>
      <c r="B26" s="35" t="s">
        <v>300</v>
      </c>
      <c r="C26" s="35" t="s">
        <v>345</v>
      </c>
      <c r="D26" s="35" t="s">
        <v>346</v>
      </c>
      <c r="E26" s="35" t="s">
        <v>306</v>
      </c>
    </row>
    <row r="27">
      <c r="A27" s="35">
        <v>26.0</v>
      </c>
      <c r="B27" s="35" t="s">
        <v>300</v>
      </c>
      <c r="C27" s="35" t="s">
        <v>345</v>
      </c>
      <c r="D27" s="35" t="s">
        <v>327</v>
      </c>
      <c r="E27" s="35" t="s">
        <v>306</v>
      </c>
    </row>
    <row r="28">
      <c r="A28" s="35">
        <v>27.0</v>
      </c>
      <c r="B28" s="35" t="s">
        <v>300</v>
      </c>
      <c r="C28" s="35" t="s">
        <v>347</v>
      </c>
      <c r="D28" s="35" t="s">
        <v>346</v>
      </c>
      <c r="E28" s="35" t="s">
        <v>306</v>
      </c>
    </row>
    <row r="29">
      <c r="A29" s="35">
        <v>28.0</v>
      </c>
      <c r="B29" s="35" t="s">
        <v>300</v>
      </c>
      <c r="C29" s="35" t="s">
        <v>347</v>
      </c>
      <c r="D29" s="35" t="s">
        <v>328</v>
      </c>
      <c r="E29" s="35" t="s">
        <v>306</v>
      </c>
    </row>
    <row r="30">
      <c r="A30" s="35">
        <v>29.0</v>
      </c>
      <c r="B30" s="35" t="s">
        <v>300</v>
      </c>
      <c r="C30" s="35" t="s">
        <v>348</v>
      </c>
      <c r="D30" s="35" t="s">
        <v>349</v>
      </c>
      <c r="E30" s="35" t="s">
        <v>306</v>
      </c>
    </row>
    <row r="31">
      <c r="A31" s="35">
        <v>30.0</v>
      </c>
      <c r="B31" s="35" t="s">
        <v>300</v>
      </c>
      <c r="C31" s="35" t="s">
        <v>350</v>
      </c>
      <c r="D31" s="35" t="s">
        <v>334</v>
      </c>
      <c r="E31" s="35" t="s">
        <v>306</v>
      </c>
    </row>
    <row r="32">
      <c r="A32" s="35">
        <v>31.0</v>
      </c>
      <c r="B32" s="35" t="s">
        <v>300</v>
      </c>
      <c r="C32" s="35" t="s">
        <v>350</v>
      </c>
      <c r="D32" s="35" t="s">
        <v>335</v>
      </c>
      <c r="E32" s="35" t="s">
        <v>306</v>
      </c>
    </row>
    <row r="33">
      <c r="A33" s="35">
        <v>32.0</v>
      </c>
      <c r="B33" s="35" t="s">
        <v>300</v>
      </c>
      <c r="C33" s="35" t="s">
        <v>351</v>
      </c>
      <c r="D33" s="35" t="s">
        <v>322</v>
      </c>
      <c r="E33" s="35" t="s">
        <v>306</v>
      </c>
    </row>
    <row r="34">
      <c r="A34" s="35">
        <v>33.0</v>
      </c>
      <c r="B34" s="35" t="s">
        <v>300</v>
      </c>
      <c r="C34" s="35" t="s">
        <v>352</v>
      </c>
      <c r="D34" s="35" t="s">
        <v>353</v>
      </c>
      <c r="E34" s="35" t="s">
        <v>306</v>
      </c>
    </row>
    <row r="35">
      <c r="A35" s="35">
        <v>34.0</v>
      </c>
      <c r="B35" s="35" t="s">
        <v>300</v>
      </c>
      <c r="C35" s="35" t="s">
        <v>352</v>
      </c>
      <c r="D35" s="35" t="s">
        <v>354</v>
      </c>
      <c r="E35" s="35" t="s">
        <v>306</v>
      </c>
    </row>
    <row r="36">
      <c r="A36" s="35">
        <v>35.0</v>
      </c>
      <c r="B36" s="35" t="s">
        <v>300</v>
      </c>
      <c r="C36" s="35" t="s">
        <v>355</v>
      </c>
      <c r="D36" s="35" t="s">
        <v>356</v>
      </c>
      <c r="E36" s="35" t="s">
        <v>306</v>
      </c>
    </row>
    <row r="37">
      <c r="A37" s="35">
        <v>36.0</v>
      </c>
      <c r="B37" s="35" t="s">
        <v>300</v>
      </c>
      <c r="C37" s="35" t="s">
        <v>357</v>
      </c>
      <c r="D37" s="35" t="s">
        <v>327</v>
      </c>
      <c r="E37" s="35" t="s">
        <v>306</v>
      </c>
    </row>
    <row r="38">
      <c r="A38" s="35">
        <v>37.0</v>
      </c>
      <c r="B38" s="35" t="s">
        <v>300</v>
      </c>
      <c r="C38" s="35" t="s">
        <v>357</v>
      </c>
      <c r="D38" s="35" t="s">
        <v>328</v>
      </c>
      <c r="E38" s="35" t="s">
        <v>306</v>
      </c>
    </row>
    <row r="39">
      <c r="A39" s="35">
        <v>38.0</v>
      </c>
      <c r="B39" s="35" t="s">
        <v>300</v>
      </c>
      <c r="C39" s="35" t="s">
        <v>358</v>
      </c>
      <c r="D39" s="35" t="s">
        <v>353</v>
      </c>
      <c r="E39" s="35" t="s">
        <v>306</v>
      </c>
    </row>
    <row r="40">
      <c r="A40" s="35">
        <v>39.0</v>
      </c>
      <c r="B40" s="35" t="s">
        <v>300</v>
      </c>
      <c r="C40" s="35" t="s">
        <v>358</v>
      </c>
      <c r="D40" s="35" t="s">
        <v>330</v>
      </c>
      <c r="E40" s="35" t="s">
        <v>306</v>
      </c>
    </row>
    <row r="41">
      <c r="A41" s="35">
        <v>40.0</v>
      </c>
      <c r="B41" s="35" t="s">
        <v>300</v>
      </c>
      <c r="C41" s="35" t="s">
        <v>359</v>
      </c>
      <c r="D41" s="35" t="s">
        <v>360</v>
      </c>
      <c r="E41" s="35" t="s">
        <v>306</v>
      </c>
    </row>
    <row r="42">
      <c r="A42" s="35">
        <v>41.0</v>
      </c>
      <c r="B42" s="35" t="s">
        <v>300</v>
      </c>
      <c r="C42" s="35" t="s">
        <v>361</v>
      </c>
      <c r="D42" s="35" t="s">
        <v>334</v>
      </c>
      <c r="E42" s="35" t="s">
        <v>306</v>
      </c>
    </row>
    <row r="43">
      <c r="A43" s="35">
        <v>42.0</v>
      </c>
      <c r="B43" s="35" t="s">
        <v>300</v>
      </c>
      <c r="C43" s="35" t="s">
        <v>362</v>
      </c>
      <c r="D43" s="35" t="s">
        <v>322</v>
      </c>
      <c r="E43" s="35" t="s">
        <v>306</v>
      </c>
    </row>
    <row r="44">
      <c r="A44" s="35">
        <v>43.0</v>
      </c>
      <c r="B44" s="35" t="s">
        <v>300</v>
      </c>
      <c r="C44" s="35" t="s">
        <v>362</v>
      </c>
      <c r="D44" s="35" t="s">
        <v>346</v>
      </c>
      <c r="E44" s="35" t="s">
        <v>306</v>
      </c>
    </row>
    <row r="45">
      <c r="A45" s="35">
        <v>44.0</v>
      </c>
      <c r="B45" s="35" t="s">
        <v>300</v>
      </c>
      <c r="C45" s="35" t="s">
        <v>363</v>
      </c>
      <c r="D45" s="35" t="s">
        <v>364</v>
      </c>
      <c r="E45" s="35" t="s">
        <v>306</v>
      </c>
    </row>
    <row r="46">
      <c r="A46" s="35">
        <v>45.0</v>
      </c>
      <c r="B46" s="35" t="s">
        <v>300</v>
      </c>
      <c r="C46" s="35" t="s">
        <v>365</v>
      </c>
      <c r="D46" s="35" t="s">
        <v>356</v>
      </c>
      <c r="E46" s="35" t="s">
        <v>306</v>
      </c>
    </row>
    <row r="47">
      <c r="A47" s="35">
        <v>46.0</v>
      </c>
      <c r="B47" s="35" t="s">
        <v>300</v>
      </c>
      <c r="C47" s="35" t="s">
        <v>366</v>
      </c>
      <c r="D47" s="35" t="s">
        <v>367</v>
      </c>
      <c r="E47" s="35" t="s">
        <v>306</v>
      </c>
    </row>
    <row r="48">
      <c r="A48" s="35">
        <v>47.0</v>
      </c>
      <c r="B48" s="35" t="s">
        <v>300</v>
      </c>
      <c r="C48" s="35" t="s">
        <v>368</v>
      </c>
      <c r="D48" s="35" t="s">
        <v>369</v>
      </c>
      <c r="E48" s="35" t="s">
        <v>306</v>
      </c>
    </row>
    <row r="49">
      <c r="A49" s="35">
        <v>48.0</v>
      </c>
      <c r="B49" s="35" t="s">
        <v>300</v>
      </c>
      <c r="C49" s="35" t="s">
        <v>370</v>
      </c>
      <c r="D49" s="35" t="s">
        <v>360</v>
      </c>
      <c r="E49" s="35" t="s">
        <v>306</v>
      </c>
    </row>
    <row r="50">
      <c r="A50" s="35">
        <v>49.0</v>
      </c>
      <c r="B50" s="35" t="s">
        <v>300</v>
      </c>
      <c r="C50" s="35" t="s">
        <v>371</v>
      </c>
      <c r="D50" s="35" t="s">
        <v>372</v>
      </c>
      <c r="E50" s="35" t="s">
        <v>306</v>
      </c>
    </row>
    <row r="51">
      <c r="A51" s="35">
        <v>50.0</v>
      </c>
      <c r="B51" s="35" t="s">
        <v>300</v>
      </c>
      <c r="C51" s="35" t="s">
        <v>373</v>
      </c>
      <c r="D51" s="35" t="s">
        <v>334</v>
      </c>
      <c r="E51" s="35" t="s">
        <v>306</v>
      </c>
    </row>
    <row r="52">
      <c r="A52" s="35">
        <v>51.0</v>
      </c>
      <c r="B52" s="35" t="s">
        <v>300</v>
      </c>
      <c r="C52" s="35" t="s">
        <v>374</v>
      </c>
      <c r="D52" s="35" t="s">
        <v>375</v>
      </c>
      <c r="E52" s="35" t="s">
        <v>306</v>
      </c>
    </row>
    <row r="53">
      <c r="A53" s="35">
        <v>52.0</v>
      </c>
      <c r="B53" s="35" t="s">
        <v>300</v>
      </c>
      <c r="C53" s="35" t="s">
        <v>376</v>
      </c>
      <c r="D53" s="35" t="s">
        <v>377</v>
      </c>
      <c r="E53" s="35" t="s">
        <v>306</v>
      </c>
    </row>
    <row r="54">
      <c r="A54" s="35">
        <v>53.0</v>
      </c>
      <c r="B54" s="35" t="s">
        <v>300</v>
      </c>
      <c r="C54" s="35" t="s">
        <v>376</v>
      </c>
      <c r="D54" s="35" t="s">
        <v>378</v>
      </c>
      <c r="E54" s="35" t="s">
        <v>306</v>
      </c>
    </row>
    <row r="55">
      <c r="A55" s="35">
        <v>54.0</v>
      </c>
      <c r="B55" s="35" t="s">
        <v>300</v>
      </c>
      <c r="C55" s="35" t="s">
        <v>379</v>
      </c>
      <c r="D55" s="35" t="s">
        <v>380</v>
      </c>
      <c r="E55" s="35" t="s">
        <v>306</v>
      </c>
    </row>
    <row r="56">
      <c r="A56" s="35">
        <v>55.0</v>
      </c>
      <c r="B56" s="35" t="s">
        <v>300</v>
      </c>
      <c r="C56" s="35" t="s">
        <v>379</v>
      </c>
      <c r="D56" s="35" t="s">
        <v>381</v>
      </c>
      <c r="E56" s="35" t="s">
        <v>306</v>
      </c>
    </row>
    <row r="57">
      <c r="A57" s="35">
        <v>56.0</v>
      </c>
      <c r="B57" s="35" t="s">
        <v>300</v>
      </c>
      <c r="C57" s="35" t="s">
        <v>382</v>
      </c>
      <c r="D57" s="35" t="s">
        <v>383</v>
      </c>
      <c r="E57" s="35" t="s">
        <v>306</v>
      </c>
    </row>
    <row r="58">
      <c r="A58" s="35">
        <v>57.0</v>
      </c>
      <c r="B58" s="35" t="s">
        <v>300</v>
      </c>
      <c r="C58" s="35" t="s">
        <v>382</v>
      </c>
      <c r="D58" s="35" t="s">
        <v>364</v>
      </c>
      <c r="E58" s="35" t="s">
        <v>306</v>
      </c>
    </row>
    <row r="59">
      <c r="A59" s="35">
        <v>58.0</v>
      </c>
      <c r="B59" s="35" t="s">
        <v>300</v>
      </c>
      <c r="C59" s="35" t="s">
        <v>384</v>
      </c>
      <c r="D59" s="35" t="s">
        <v>330</v>
      </c>
      <c r="E59" s="35" t="s">
        <v>306</v>
      </c>
    </row>
    <row r="60">
      <c r="A60" s="35">
        <v>59.0</v>
      </c>
      <c r="B60" s="35" t="s">
        <v>300</v>
      </c>
      <c r="C60" s="35" t="s">
        <v>385</v>
      </c>
      <c r="D60" s="35" t="s">
        <v>386</v>
      </c>
      <c r="E60" s="35" t="s">
        <v>306</v>
      </c>
    </row>
    <row r="61">
      <c r="A61" s="35">
        <v>60.0</v>
      </c>
      <c r="B61" s="35" t="s">
        <v>300</v>
      </c>
      <c r="C61" s="35" t="s">
        <v>387</v>
      </c>
      <c r="D61" s="35" t="s">
        <v>353</v>
      </c>
      <c r="E61" s="35" t="s">
        <v>306</v>
      </c>
    </row>
    <row r="62">
      <c r="A62" s="35">
        <v>61.0</v>
      </c>
      <c r="B62" s="35" t="s">
        <v>300</v>
      </c>
      <c r="C62" s="35" t="s">
        <v>388</v>
      </c>
      <c r="D62" s="35" t="s">
        <v>389</v>
      </c>
      <c r="E62" s="35" t="s">
        <v>306</v>
      </c>
    </row>
    <row r="63">
      <c r="A63" s="35">
        <v>62.0</v>
      </c>
      <c r="B63" s="35" t="s">
        <v>300</v>
      </c>
      <c r="C63" s="35" t="s">
        <v>390</v>
      </c>
      <c r="D63" s="35" t="s">
        <v>391</v>
      </c>
      <c r="E63" s="35" t="s">
        <v>306</v>
      </c>
    </row>
    <row r="64">
      <c r="A64" s="35">
        <v>63.0</v>
      </c>
      <c r="B64" s="35" t="s">
        <v>300</v>
      </c>
      <c r="C64" s="35" t="s">
        <v>392</v>
      </c>
      <c r="D64" s="35" t="s">
        <v>330</v>
      </c>
      <c r="E64" s="35" t="s">
        <v>306</v>
      </c>
    </row>
    <row r="65">
      <c r="A65" s="35">
        <v>64.0</v>
      </c>
      <c r="B65" s="35" t="s">
        <v>300</v>
      </c>
      <c r="C65" s="35" t="s">
        <v>393</v>
      </c>
      <c r="D65" s="35" t="s">
        <v>394</v>
      </c>
      <c r="E65" s="35" t="s">
        <v>306</v>
      </c>
    </row>
    <row r="66">
      <c r="A66" s="35">
        <v>65.0</v>
      </c>
      <c r="B66" s="35" t="s">
        <v>300</v>
      </c>
      <c r="C66" s="35" t="s">
        <v>395</v>
      </c>
      <c r="D66" s="35" t="s">
        <v>396</v>
      </c>
      <c r="E66" s="35" t="s">
        <v>306</v>
      </c>
    </row>
    <row r="67">
      <c r="A67" s="35">
        <v>66.0</v>
      </c>
      <c r="B67" s="35" t="s">
        <v>300</v>
      </c>
      <c r="C67" s="35" t="s">
        <v>395</v>
      </c>
      <c r="D67" s="35" t="s">
        <v>397</v>
      </c>
      <c r="E67" s="35" t="s">
        <v>306</v>
      </c>
    </row>
    <row r="68">
      <c r="A68" s="35">
        <v>67.0</v>
      </c>
      <c r="B68" s="35" t="s">
        <v>300</v>
      </c>
      <c r="C68" s="35" t="s">
        <v>398</v>
      </c>
      <c r="D68" s="35" t="s">
        <v>399</v>
      </c>
      <c r="E68" s="35" t="s">
        <v>306</v>
      </c>
    </row>
    <row r="69">
      <c r="A69" s="35">
        <v>68.0</v>
      </c>
      <c r="B69" s="35" t="s">
        <v>300</v>
      </c>
      <c r="C69" s="35" t="s">
        <v>400</v>
      </c>
      <c r="D69" s="35" t="s">
        <v>377</v>
      </c>
      <c r="E69" s="35" t="s">
        <v>306</v>
      </c>
    </row>
    <row r="70">
      <c r="A70" s="35">
        <v>69.0</v>
      </c>
      <c r="B70" s="35" t="s">
        <v>300</v>
      </c>
      <c r="C70" s="35" t="s">
        <v>401</v>
      </c>
      <c r="D70" s="35" t="s">
        <v>402</v>
      </c>
      <c r="E70" s="35" t="s">
        <v>306</v>
      </c>
    </row>
    <row r="71">
      <c r="A71" s="35">
        <v>70.0</v>
      </c>
      <c r="B71" s="35" t="s">
        <v>300</v>
      </c>
      <c r="C71" s="35" t="s">
        <v>403</v>
      </c>
      <c r="D71" s="35" t="s">
        <v>339</v>
      </c>
      <c r="E71" s="35" t="s">
        <v>306</v>
      </c>
    </row>
    <row r="72">
      <c r="A72" s="35">
        <v>71.0</v>
      </c>
      <c r="B72" s="35" t="s">
        <v>300</v>
      </c>
      <c r="C72" s="35" t="s">
        <v>404</v>
      </c>
      <c r="D72" s="35" t="s">
        <v>353</v>
      </c>
      <c r="E72" s="35" t="s">
        <v>306</v>
      </c>
    </row>
    <row r="73">
      <c r="A73" s="35">
        <v>72.0</v>
      </c>
      <c r="B73" s="35" t="s">
        <v>300</v>
      </c>
      <c r="C73" s="35" t="s">
        <v>405</v>
      </c>
      <c r="D73" s="35" t="s">
        <v>353</v>
      </c>
      <c r="E73" s="35" t="s">
        <v>306</v>
      </c>
    </row>
    <row r="74">
      <c r="A74" s="35">
        <v>73.0</v>
      </c>
      <c r="B74" s="35" t="s">
        <v>300</v>
      </c>
      <c r="C74" s="35" t="s">
        <v>406</v>
      </c>
      <c r="D74" s="35" t="s">
        <v>375</v>
      </c>
      <c r="E74" s="35" t="s">
        <v>306</v>
      </c>
    </row>
    <row r="75">
      <c r="A75" s="35">
        <v>74.0</v>
      </c>
      <c r="B75" s="35" t="s">
        <v>300</v>
      </c>
      <c r="C75" s="35" t="s">
        <v>407</v>
      </c>
      <c r="D75" s="35" t="s">
        <v>322</v>
      </c>
      <c r="E75" s="35" t="s">
        <v>306</v>
      </c>
    </row>
    <row r="76">
      <c r="A76" s="35">
        <v>75.0</v>
      </c>
      <c r="B76" s="35" t="s">
        <v>300</v>
      </c>
      <c r="C76" s="35" t="s">
        <v>407</v>
      </c>
      <c r="D76" s="35" t="s">
        <v>346</v>
      </c>
      <c r="E76" s="35" t="s">
        <v>306</v>
      </c>
    </row>
    <row r="77">
      <c r="A77" s="35">
        <v>76.0</v>
      </c>
      <c r="B77" s="35" t="s">
        <v>300</v>
      </c>
      <c r="C77" s="35" t="s">
        <v>408</v>
      </c>
      <c r="D77" s="35" t="s">
        <v>409</v>
      </c>
      <c r="E77" s="35" t="s">
        <v>306</v>
      </c>
    </row>
    <row r="78">
      <c r="A78" s="35">
        <v>77.0</v>
      </c>
      <c r="B78" s="35" t="s">
        <v>300</v>
      </c>
      <c r="C78" s="35" t="s">
        <v>408</v>
      </c>
      <c r="D78" s="35" t="s">
        <v>396</v>
      </c>
      <c r="E78" s="35" t="s">
        <v>306</v>
      </c>
    </row>
    <row r="79">
      <c r="A79" s="35">
        <v>78.0</v>
      </c>
      <c r="B79" s="35" t="s">
        <v>300</v>
      </c>
      <c r="C79" s="35" t="s">
        <v>410</v>
      </c>
      <c r="D79" s="35" t="s">
        <v>411</v>
      </c>
      <c r="E79" s="35" t="s">
        <v>306</v>
      </c>
    </row>
    <row r="80">
      <c r="A80" s="35">
        <v>79.0</v>
      </c>
      <c r="B80" s="35" t="s">
        <v>300</v>
      </c>
      <c r="C80" s="35" t="s">
        <v>410</v>
      </c>
      <c r="D80" s="35" t="s">
        <v>412</v>
      </c>
      <c r="E80" s="35" t="s">
        <v>306</v>
      </c>
    </row>
    <row r="81">
      <c r="A81" s="35">
        <v>80.0</v>
      </c>
      <c r="B81" s="35" t="s">
        <v>300</v>
      </c>
      <c r="C81" s="35" t="s">
        <v>413</v>
      </c>
      <c r="D81" s="35" t="s">
        <v>322</v>
      </c>
      <c r="E81" s="35" t="s">
        <v>306</v>
      </c>
    </row>
    <row r="82">
      <c r="A82" s="35">
        <v>81.0</v>
      </c>
      <c r="B82" s="35" t="s">
        <v>300</v>
      </c>
      <c r="C82" s="35" t="s">
        <v>414</v>
      </c>
      <c r="D82" s="35" t="s">
        <v>415</v>
      </c>
      <c r="E82" s="35" t="s">
        <v>306</v>
      </c>
    </row>
    <row r="83">
      <c r="A83" s="35">
        <v>82.0</v>
      </c>
      <c r="B83" s="35" t="s">
        <v>300</v>
      </c>
      <c r="C83" s="35" t="s">
        <v>416</v>
      </c>
      <c r="D83" s="35" t="s">
        <v>322</v>
      </c>
      <c r="E83" s="35" t="s">
        <v>306</v>
      </c>
    </row>
    <row r="84">
      <c r="A84" s="35">
        <v>83.0</v>
      </c>
      <c r="B84" s="35" t="s">
        <v>300</v>
      </c>
      <c r="C84" s="35" t="s">
        <v>416</v>
      </c>
      <c r="D84" s="35" t="s">
        <v>346</v>
      </c>
      <c r="E84" s="35" t="s">
        <v>306</v>
      </c>
    </row>
    <row r="85">
      <c r="A85" s="35">
        <v>84.0</v>
      </c>
      <c r="B85" s="35" t="s">
        <v>300</v>
      </c>
      <c r="C85" s="35" t="s">
        <v>417</v>
      </c>
      <c r="D85" s="35" t="s">
        <v>322</v>
      </c>
      <c r="E85" s="35" t="s">
        <v>306</v>
      </c>
    </row>
    <row r="86">
      <c r="A86" s="35">
        <v>85.0</v>
      </c>
      <c r="B86" s="35" t="s">
        <v>300</v>
      </c>
      <c r="C86" s="35" t="s">
        <v>418</v>
      </c>
      <c r="D86" s="35" t="s">
        <v>322</v>
      </c>
      <c r="E86" s="35" t="s">
        <v>306</v>
      </c>
    </row>
    <row r="87">
      <c r="A87" s="35">
        <v>86.0</v>
      </c>
      <c r="B87" s="35" t="s">
        <v>300</v>
      </c>
      <c r="C87" s="35" t="s">
        <v>419</v>
      </c>
      <c r="D87" s="35" t="s">
        <v>322</v>
      </c>
      <c r="E87" s="35" t="s">
        <v>306</v>
      </c>
    </row>
    <row r="88">
      <c r="A88" s="35">
        <v>87.0</v>
      </c>
      <c r="B88" s="35" t="s">
        <v>300</v>
      </c>
      <c r="C88" s="35" t="s">
        <v>420</v>
      </c>
      <c r="D88" s="35" t="s">
        <v>396</v>
      </c>
      <c r="E88" s="35" t="s">
        <v>306</v>
      </c>
    </row>
    <row r="89">
      <c r="A89" s="35">
        <v>88.0</v>
      </c>
      <c r="B89" s="35" t="s">
        <v>300</v>
      </c>
      <c r="C89" s="35" t="s">
        <v>421</v>
      </c>
      <c r="D89" s="35" t="s">
        <v>322</v>
      </c>
      <c r="E89" s="35" t="s">
        <v>306</v>
      </c>
    </row>
    <row r="90">
      <c r="A90" s="35">
        <v>89.0</v>
      </c>
      <c r="B90" s="35" t="s">
        <v>300</v>
      </c>
      <c r="C90" s="35" t="s">
        <v>422</v>
      </c>
      <c r="D90" s="35" t="s">
        <v>423</v>
      </c>
      <c r="E90" s="35" t="s">
        <v>306</v>
      </c>
    </row>
    <row r="91">
      <c r="A91" s="35">
        <v>90.0</v>
      </c>
      <c r="B91" s="35" t="s">
        <v>300</v>
      </c>
      <c r="C91" s="35" t="s">
        <v>424</v>
      </c>
      <c r="D91" s="35" t="s">
        <v>425</v>
      </c>
      <c r="E91" s="35" t="s">
        <v>306</v>
      </c>
    </row>
    <row r="92">
      <c r="A92" s="35">
        <v>91.0</v>
      </c>
      <c r="B92" s="35" t="s">
        <v>300</v>
      </c>
      <c r="C92" s="35" t="s">
        <v>426</v>
      </c>
      <c r="D92" s="35" t="s">
        <v>427</v>
      </c>
      <c r="E92" s="35" t="s">
        <v>306</v>
      </c>
    </row>
    <row r="93">
      <c r="A93" s="35">
        <v>92.0</v>
      </c>
      <c r="B93" s="35" t="s">
        <v>300</v>
      </c>
      <c r="C93" s="35" t="s">
        <v>428</v>
      </c>
      <c r="D93" s="35" t="s">
        <v>399</v>
      </c>
      <c r="E93" s="35" t="s">
        <v>306</v>
      </c>
    </row>
    <row r="94">
      <c r="A94" s="35">
        <v>93.0</v>
      </c>
      <c r="B94" s="35" t="s">
        <v>300</v>
      </c>
      <c r="C94" s="35" t="s">
        <v>429</v>
      </c>
      <c r="D94" s="35" t="s">
        <v>430</v>
      </c>
      <c r="E94" s="35" t="s">
        <v>316</v>
      </c>
    </row>
    <row r="95">
      <c r="A95" s="35">
        <v>94.0</v>
      </c>
      <c r="B95" s="35" t="s">
        <v>300</v>
      </c>
      <c r="C95" s="35" t="s">
        <v>431</v>
      </c>
      <c r="D95" s="35" t="s">
        <v>432</v>
      </c>
      <c r="E95" s="35" t="s">
        <v>306</v>
      </c>
    </row>
    <row r="96">
      <c r="A96" s="35">
        <v>95.0</v>
      </c>
      <c r="B96" s="35" t="s">
        <v>300</v>
      </c>
      <c r="C96" s="35" t="s">
        <v>433</v>
      </c>
      <c r="D96" s="35" t="s">
        <v>322</v>
      </c>
      <c r="E96" s="35" t="s">
        <v>306</v>
      </c>
    </row>
    <row r="97">
      <c r="A97" s="35">
        <v>96.0</v>
      </c>
      <c r="B97" s="35" t="s">
        <v>300</v>
      </c>
      <c r="C97" s="35" t="s">
        <v>434</v>
      </c>
      <c r="D97" s="35" t="s">
        <v>435</v>
      </c>
      <c r="E97" s="35" t="s">
        <v>306</v>
      </c>
    </row>
    <row r="98">
      <c r="A98" s="35">
        <v>97.0</v>
      </c>
      <c r="B98" s="35" t="s">
        <v>300</v>
      </c>
      <c r="C98" s="35" t="s">
        <v>436</v>
      </c>
      <c r="D98" s="35" t="s">
        <v>437</v>
      </c>
      <c r="E98" s="35" t="s">
        <v>306</v>
      </c>
    </row>
    <row r="99">
      <c r="A99" s="35">
        <v>98.0</v>
      </c>
      <c r="B99" s="35" t="s">
        <v>300</v>
      </c>
      <c r="C99" s="35" t="s">
        <v>438</v>
      </c>
      <c r="D99" s="35" t="s">
        <v>439</v>
      </c>
      <c r="E99" s="35" t="s">
        <v>306</v>
      </c>
    </row>
    <row r="100">
      <c r="A100" s="35">
        <v>99.0</v>
      </c>
      <c r="B100" s="35" t="s">
        <v>300</v>
      </c>
      <c r="C100" s="35" t="s">
        <v>440</v>
      </c>
      <c r="D100" s="35" t="s">
        <v>441</v>
      </c>
      <c r="E100" s="35" t="s">
        <v>306</v>
      </c>
    </row>
    <row r="101">
      <c r="A101" s="35">
        <v>100.0</v>
      </c>
      <c r="B101" s="35" t="s">
        <v>300</v>
      </c>
      <c r="C101" s="35" t="s">
        <v>442</v>
      </c>
      <c r="D101" s="35" t="s">
        <v>443</v>
      </c>
      <c r="E101" s="35" t="s">
        <v>306</v>
      </c>
    </row>
    <row r="102">
      <c r="A102" s="35">
        <v>101.0</v>
      </c>
      <c r="B102" s="35" t="s">
        <v>300</v>
      </c>
      <c r="C102" s="35" t="s">
        <v>444</v>
      </c>
      <c r="D102" s="35" t="s">
        <v>445</v>
      </c>
      <c r="E102" s="35" t="s">
        <v>316</v>
      </c>
    </row>
    <row r="103">
      <c r="A103" s="35">
        <v>102.0</v>
      </c>
      <c r="B103" s="35" t="s">
        <v>300</v>
      </c>
      <c r="C103" s="35" t="s">
        <v>446</v>
      </c>
      <c r="D103" s="35" t="s">
        <v>447</v>
      </c>
      <c r="E103" s="35" t="s">
        <v>306</v>
      </c>
    </row>
    <row r="104">
      <c r="A104" s="35">
        <v>103.0</v>
      </c>
      <c r="B104" s="35" t="s">
        <v>300</v>
      </c>
      <c r="C104" s="35" t="s">
        <v>448</v>
      </c>
      <c r="D104" s="35" t="s">
        <v>449</v>
      </c>
      <c r="E104" s="35" t="s">
        <v>306</v>
      </c>
    </row>
    <row r="105">
      <c r="A105" s="35">
        <v>104.0</v>
      </c>
      <c r="B105" s="35" t="s">
        <v>300</v>
      </c>
      <c r="C105" s="35" t="s">
        <v>448</v>
      </c>
      <c r="D105" s="35" t="s">
        <v>450</v>
      </c>
      <c r="E105" s="35" t="s">
        <v>306</v>
      </c>
    </row>
    <row r="106">
      <c r="A106" s="35">
        <v>105.0</v>
      </c>
      <c r="B106" s="35" t="s">
        <v>300</v>
      </c>
      <c r="C106" s="35" t="s">
        <v>451</v>
      </c>
      <c r="D106" s="35" t="s">
        <v>452</v>
      </c>
      <c r="E106" s="35" t="s">
        <v>453</v>
      </c>
    </row>
    <row r="107">
      <c r="A107" s="35">
        <v>106.0</v>
      </c>
      <c r="B107" s="35" t="s">
        <v>300</v>
      </c>
      <c r="C107" s="35" t="s">
        <v>454</v>
      </c>
      <c r="D107" s="35" t="s">
        <v>455</v>
      </c>
      <c r="E107" s="35" t="s">
        <v>306</v>
      </c>
    </row>
    <row r="108">
      <c r="A108" s="35">
        <v>107.0</v>
      </c>
      <c r="B108" s="35" t="s">
        <v>300</v>
      </c>
      <c r="C108" s="35" t="s">
        <v>456</v>
      </c>
      <c r="D108" s="35" t="s">
        <v>457</v>
      </c>
      <c r="E108" s="35" t="s">
        <v>306</v>
      </c>
    </row>
    <row r="109">
      <c r="A109" s="35">
        <v>108.0</v>
      </c>
      <c r="B109" s="35" t="s">
        <v>300</v>
      </c>
      <c r="C109" s="35" t="s">
        <v>458</v>
      </c>
      <c r="D109" s="35" t="s">
        <v>459</v>
      </c>
      <c r="E109" s="35" t="s">
        <v>306</v>
      </c>
    </row>
    <row r="110">
      <c r="A110" s="35">
        <v>109.0</v>
      </c>
      <c r="B110" s="35" t="s">
        <v>300</v>
      </c>
      <c r="C110" s="35" t="s">
        <v>460</v>
      </c>
      <c r="D110" s="35" t="s">
        <v>459</v>
      </c>
      <c r="E110" s="35" t="s">
        <v>306</v>
      </c>
    </row>
    <row r="111">
      <c r="A111" s="35">
        <v>110.0</v>
      </c>
      <c r="B111" s="35" t="s">
        <v>300</v>
      </c>
      <c r="C111" s="35" t="s">
        <v>461</v>
      </c>
      <c r="D111" s="35" t="s">
        <v>462</v>
      </c>
      <c r="E111" s="35" t="s">
        <v>306</v>
      </c>
    </row>
    <row r="112">
      <c r="A112" s="35">
        <v>111.0</v>
      </c>
      <c r="B112" s="35" t="s">
        <v>300</v>
      </c>
      <c r="C112" s="35" t="s">
        <v>463</v>
      </c>
      <c r="D112" s="35" t="s">
        <v>464</v>
      </c>
      <c r="E112" s="35" t="s">
        <v>306</v>
      </c>
    </row>
    <row r="113">
      <c r="A113" s="35">
        <v>112.0</v>
      </c>
      <c r="B113" s="35" t="s">
        <v>300</v>
      </c>
      <c r="C113" s="35" t="s">
        <v>465</v>
      </c>
      <c r="D113" s="35" t="s">
        <v>466</v>
      </c>
      <c r="E113" s="35" t="s">
        <v>306</v>
      </c>
    </row>
    <row r="114">
      <c r="A114" s="35">
        <v>113.0</v>
      </c>
      <c r="B114" s="35" t="s">
        <v>300</v>
      </c>
      <c r="C114" s="35" t="s">
        <v>467</v>
      </c>
      <c r="D114" s="35" t="s">
        <v>466</v>
      </c>
      <c r="E114" s="35" t="s">
        <v>306</v>
      </c>
    </row>
    <row r="115">
      <c r="A115" s="35">
        <v>114.0</v>
      </c>
      <c r="B115" s="35" t="s">
        <v>300</v>
      </c>
      <c r="C115" s="35" t="s">
        <v>468</v>
      </c>
      <c r="D115" s="35" t="s">
        <v>469</v>
      </c>
      <c r="E115" s="35" t="s">
        <v>306</v>
      </c>
    </row>
    <row r="116">
      <c r="A116" s="35">
        <v>115.0</v>
      </c>
      <c r="B116" s="35" t="s">
        <v>300</v>
      </c>
      <c r="C116" s="35" t="s">
        <v>470</v>
      </c>
      <c r="D116" s="35" t="s">
        <v>471</v>
      </c>
      <c r="E116" s="35" t="s">
        <v>316</v>
      </c>
    </row>
    <row r="117">
      <c r="A117" s="35">
        <v>116.0</v>
      </c>
      <c r="B117" s="35" t="s">
        <v>300</v>
      </c>
      <c r="C117" s="35" t="s">
        <v>472</v>
      </c>
      <c r="D117" s="35" t="s">
        <v>473</v>
      </c>
      <c r="E117" s="35" t="s">
        <v>306</v>
      </c>
    </row>
    <row r="118">
      <c r="A118" s="35">
        <v>117.0</v>
      </c>
      <c r="B118" s="35" t="s">
        <v>300</v>
      </c>
      <c r="C118" s="35" t="s">
        <v>474</v>
      </c>
      <c r="D118" s="35" t="s">
        <v>475</v>
      </c>
      <c r="E118" s="35" t="s">
        <v>306</v>
      </c>
    </row>
    <row r="119">
      <c r="A119" s="35">
        <v>118.0</v>
      </c>
      <c r="B119" s="35" t="s">
        <v>300</v>
      </c>
      <c r="C119" s="35" t="s">
        <v>476</v>
      </c>
      <c r="D119" s="35" t="s">
        <v>477</v>
      </c>
      <c r="E119" s="35" t="s">
        <v>306</v>
      </c>
    </row>
    <row r="120">
      <c r="A120" s="35">
        <v>119.0</v>
      </c>
      <c r="B120" s="35" t="s">
        <v>300</v>
      </c>
      <c r="C120" s="35" t="s">
        <v>478</v>
      </c>
      <c r="D120" s="35" t="s">
        <v>462</v>
      </c>
      <c r="E120" s="35" t="s">
        <v>306</v>
      </c>
    </row>
    <row r="121">
      <c r="A121" s="35">
        <v>120.0</v>
      </c>
      <c r="B121" s="35" t="s">
        <v>300</v>
      </c>
      <c r="C121" s="35" t="s">
        <v>479</v>
      </c>
      <c r="D121" s="35" t="s">
        <v>480</v>
      </c>
      <c r="E121" s="35" t="s">
        <v>306</v>
      </c>
    </row>
    <row r="122">
      <c r="A122" s="35">
        <v>121.0</v>
      </c>
      <c r="B122" s="35" t="s">
        <v>300</v>
      </c>
      <c r="C122" s="35" t="s">
        <v>481</v>
      </c>
      <c r="D122" s="35" t="s">
        <v>482</v>
      </c>
      <c r="E122" s="35" t="s">
        <v>306</v>
      </c>
    </row>
    <row r="123">
      <c r="A123" s="35">
        <v>122.0</v>
      </c>
      <c r="B123" s="35" t="s">
        <v>300</v>
      </c>
      <c r="C123" s="35" t="s">
        <v>483</v>
      </c>
      <c r="D123" s="35" t="s">
        <v>415</v>
      </c>
      <c r="E123" s="35" t="s">
        <v>484</v>
      </c>
    </row>
    <row r="124">
      <c r="A124" s="35">
        <v>123.0</v>
      </c>
      <c r="B124" s="35" t="s">
        <v>300</v>
      </c>
      <c r="C124" s="35" t="s">
        <v>485</v>
      </c>
      <c r="D124" s="35" t="s">
        <v>486</v>
      </c>
      <c r="E124" s="35" t="s">
        <v>487</v>
      </c>
    </row>
    <row r="125">
      <c r="A125" s="35">
        <v>124.0</v>
      </c>
      <c r="B125" s="35" t="s">
        <v>300</v>
      </c>
      <c r="C125" s="35" t="s">
        <v>488</v>
      </c>
      <c r="D125" s="35" t="s">
        <v>489</v>
      </c>
      <c r="E125" s="35" t="s">
        <v>306</v>
      </c>
    </row>
    <row r="126">
      <c r="A126" s="35">
        <v>125.0</v>
      </c>
      <c r="B126" s="35" t="s">
        <v>300</v>
      </c>
      <c r="C126" s="35" t="s">
        <v>490</v>
      </c>
      <c r="D126" s="35" t="s">
        <v>341</v>
      </c>
      <c r="E126" s="35" t="s">
        <v>306</v>
      </c>
    </row>
    <row r="127">
      <c r="A127" s="35">
        <v>126.0</v>
      </c>
      <c r="B127" s="35" t="s">
        <v>300</v>
      </c>
      <c r="C127" s="35" t="s">
        <v>491</v>
      </c>
      <c r="D127" s="35" t="s">
        <v>327</v>
      </c>
      <c r="E127" s="35" t="s">
        <v>306</v>
      </c>
    </row>
    <row r="128">
      <c r="A128" s="35">
        <v>127.0</v>
      </c>
      <c r="B128" s="35" t="s">
        <v>300</v>
      </c>
      <c r="C128" s="35" t="s">
        <v>492</v>
      </c>
      <c r="D128" s="35" t="s">
        <v>493</v>
      </c>
      <c r="E128" s="35" t="s">
        <v>306</v>
      </c>
    </row>
    <row r="129">
      <c r="A129" s="35">
        <v>128.0</v>
      </c>
      <c r="B129" s="35" t="s">
        <v>300</v>
      </c>
      <c r="C129" s="35" t="s">
        <v>494</v>
      </c>
      <c r="D129" s="35" t="s">
        <v>495</v>
      </c>
      <c r="E129" s="35" t="s">
        <v>306</v>
      </c>
    </row>
    <row r="130">
      <c r="A130" s="35">
        <v>129.0</v>
      </c>
      <c r="B130" s="35" t="s">
        <v>300</v>
      </c>
      <c r="C130" s="35" t="s">
        <v>496</v>
      </c>
      <c r="D130" s="35" t="s">
        <v>497</v>
      </c>
      <c r="E130" s="35" t="s">
        <v>498</v>
      </c>
    </row>
    <row r="131">
      <c r="A131" s="35">
        <v>130.0</v>
      </c>
      <c r="B131" s="35" t="s">
        <v>499</v>
      </c>
      <c r="C131" s="35" t="s">
        <v>500</v>
      </c>
      <c r="D131" s="35" t="s">
        <v>501</v>
      </c>
      <c r="E131" s="35" t="s">
        <v>484</v>
      </c>
    </row>
    <row r="132">
      <c r="A132" s="35">
        <v>131.0</v>
      </c>
      <c r="B132" s="35" t="s">
        <v>499</v>
      </c>
      <c r="C132" s="35" t="s">
        <v>502</v>
      </c>
      <c r="D132" s="35" t="s">
        <v>482</v>
      </c>
      <c r="E132" s="35" t="s">
        <v>484</v>
      </c>
    </row>
    <row r="133">
      <c r="A133" s="35">
        <v>132.0</v>
      </c>
      <c r="B133" s="35" t="s">
        <v>499</v>
      </c>
      <c r="C133" s="35" t="s">
        <v>503</v>
      </c>
      <c r="D133" s="35" t="s">
        <v>504</v>
      </c>
      <c r="E133" s="35" t="s">
        <v>484</v>
      </c>
    </row>
    <row r="134">
      <c r="A134" s="35">
        <v>133.0</v>
      </c>
      <c r="B134" s="35" t="s">
        <v>499</v>
      </c>
      <c r="C134" s="35" t="s">
        <v>505</v>
      </c>
      <c r="D134" s="35" t="s">
        <v>506</v>
      </c>
      <c r="E134" s="35" t="s">
        <v>484</v>
      </c>
    </row>
    <row r="135">
      <c r="A135" s="35">
        <v>134.0</v>
      </c>
      <c r="B135" s="35" t="s">
        <v>499</v>
      </c>
      <c r="C135" s="35" t="s">
        <v>507</v>
      </c>
      <c r="D135" s="35" t="s">
        <v>508</v>
      </c>
      <c r="E135" s="35" t="s">
        <v>484</v>
      </c>
    </row>
    <row r="136">
      <c r="A136" s="35">
        <v>135.0</v>
      </c>
      <c r="B136" s="35" t="s">
        <v>499</v>
      </c>
      <c r="C136" s="35" t="s">
        <v>509</v>
      </c>
      <c r="D136" s="35" t="s">
        <v>510</v>
      </c>
      <c r="E136" s="35" t="s">
        <v>484</v>
      </c>
    </row>
    <row r="137">
      <c r="A137" s="35">
        <v>136.0</v>
      </c>
      <c r="B137" s="35" t="s">
        <v>499</v>
      </c>
      <c r="C137" s="35" t="s">
        <v>511</v>
      </c>
      <c r="D137" s="35" t="s">
        <v>512</v>
      </c>
      <c r="E137" s="35" t="s">
        <v>484</v>
      </c>
    </row>
    <row r="138">
      <c r="A138" s="35">
        <v>137.0</v>
      </c>
      <c r="B138" s="35" t="s">
        <v>499</v>
      </c>
      <c r="C138" s="35" t="s">
        <v>513</v>
      </c>
      <c r="D138" s="35" t="s">
        <v>514</v>
      </c>
      <c r="E138" s="35" t="s">
        <v>484</v>
      </c>
    </row>
    <row r="139">
      <c r="A139" s="35">
        <v>138.0</v>
      </c>
      <c r="B139" s="35" t="s">
        <v>499</v>
      </c>
      <c r="C139" s="35" t="s">
        <v>515</v>
      </c>
      <c r="D139" s="35" t="s">
        <v>516</v>
      </c>
      <c r="E139" s="35" t="s">
        <v>484</v>
      </c>
    </row>
    <row r="140">
      <c r="A140" s="35">
        <v>139.0</v>
      </c>
      <c r="B140" s="35" t="s">
        <v>499</v>
      </c>
      <c r="C140" s="35" t="s">
        <v>517</v>
      </c>
      <c r="D140" s="35" t="s">
        <v>518</v>
      </c>
      <c r="E140" s="35" t="s">
        <v>484</v>
      </c>
    </row>
    <row r="141">
      <c r="A141" s="35">
        <v>140.0</v>
      </c>
      <c r="B141" s="35" t="s">
        <v>499</v>
      </c>
      <c r="C141" s="35" t="s">
        <v>519</v>
      </c>
      <c r="D141" s="35" t="s">
        <v>520</v>
      </c>
      <c r="E141" s="35" t="s">
        <v>484</v>
      </c>
    </row>
    <row r="142">
      <c r="A142" s="35">
        <v>141.0</v>
      </c>
      <c r="B142" s="35" t="s">
        <v>499</v>
      </c>
      <c r="C142" s="35" t="s">
        <v>521</v>
      </c>
      <c r="D142" s="35" t="s">
        <v>522</v>
      </c>
      <c r="E142" s="35" t="s">
        <v>484</v>
      </c>
    </row>
    <row r="143">
      <c r="A143" s="35">
        <v>142.0</v>
      </c>
      <c r="B143" s="35" t="s">
        <v>499</v>
      </c>
      <c r="C143" s="35" t="s">
        <v>523</v>
      </c>
      <c r="D143" s="35" t="s">
        <v>524</v>
      </c>
      <c r="E143" s="35" t="s">
        <v>484</v>
      </c>
    </row>
    <row r="144">
      <c r="A144" s="35">
        <v>143.0</v>
      </c>
      <c r="B144" s="35" t="s">
        <v>499</v>
      </c>
      <c r="C144" s="35" t="s">
        <v>525</v>
      </c>
      <c r="D144" s="35" t="s">
        <v>526</v>
      </c>
      <c r="E144" s="35" t="s">
        <v>484</v>
      </c>
    </row>
    <row r="145">
      <c r="A145" s="35">
        <v>144.0</v>
      </c>
      <c r="B145" s="35" t="s">
        <v>499</v>
      </c>
      <c r="C145" s="35" t="s">
        <v>527</v>
      </c>
      <c r="D145" s="35" t="s">
        <v>528</v>
      </c>
      <c r="E145" s="35" t="s">
        <v>484</v>
      </c>
    </row>
    <row r="146">
      <c r="A146" s="35">
        <v>145.0</v>
      </c>
      <c r="B146" s="35" t="s">
        <v>499</v>
      </c>
      <c r="C146" s="35" t="s">
        <v>529</v>
      </c>
      <c r="D146" s="35" t="s">
        <v>530</v>
      </c>
      <c r="E146" s="35" t="s">
        <v>484</v>
      </c>
    </row>
    <row r="147">
      <c r="A147" s="35">
        <v>146.0</v>
      </c>
      <c r="B147" s="35" t="s">
        <v>499</v>
      </c>
      <c r="C147" s="35" t="s">
        <v>531</v>
      </c>
      <c r="D147" s="35" t="s">
        <v>455</v>
      </c>
      <c r="E147" s="35" t="s">
        <v>484</v>
      </c>
    </row>
    <row r="148">
      <c r="A148" s="35">
        <v>147.0</v>
      </c>
      <c r="B148" s="35" t="s">
        <v>499</v>
      </c>
      <c r="C148" s="35" t="s">
        <v>532</v>
      </c>
      <c r="D148" s="35" t="s">
        <v>533</v>
      </c>
      <c r="E148" s="35" t="s">
        <v>484</v>
      </c>
    </row>
    <row r="149">
      <c r="A149" s="35">
        <v>148.0</v>
      </c>
      <c r="B149" s="35" t="s">
        <v>499</v>
      </c>
      <c r="C149" s="35" t="s">
        <v>534</v>
      </c>
      <c r="D149" s="35" t="s">
        <v>535</v>
      </c>
      <c r="E149" s="35" t="s">
        <v>484</v>
      </c>
    </row>
    <row r="150">
      <c r="A150" s="35">
        <v>149.0</v>
      </c>
      <c r="B150" s="35" t="s">
        <v>499</v>
      </c>
      <c r="C150" s="35" t="s">
        <v>536</v>
      </c>
      <c r="D150" s="35" t="s">
        <v>537</v>
      </c>
      <c r="E150" s="35" t="s">
        <v>484</v>
      </c>
    </row>
    <row r="151">
      <c r="A151" s="35">
        <v>150.0</v>
      </c>
      <c r="B151" s="35" t="s">
        <v>499</v>
      </c>
      <c r="C151" s="35" t="s">
        <v>538</v>
      </c>
      <c r="D151" s="35" t="s">
        <v>539</v>
      </c>
      <c r="E151" s="35" t="s">
        <v>484</v>
      </c>
    </row>
    <row r="152">
      <c r="A152" s="35">
        <v>151.0</v>
      </c>
      <c r="B152" s="35" t="s">
        <v>499</v>
      </c>
      <c r="C152" s="35" t="s">
        <v>540</v>
      </c>
      <c r="D152" s="35" t="s">
        <v>541</v>
      </c>
      <c r="E152" s="35" t="s">
        <v>484</v>
      </c>
    </row>
    <row r="153">
      <c r="A153" s="35">
        <v>152.0</v>
      </c>
      <c r="B153" s="35" t="s">
        <v>499</v>
      </c>
      <c r="C153" s="35" t="s">
        <v>542</v>
      </c>
      <c r="D153" s="35" t="s">
        <v>543</v>
      </c>
      <c r="E153" s="35" t="s">
        <v>484</v>
      </c>
    </row>
    <row r="154">
      <c r="A154" s="35">
        <v>153.0</v>
      </c>
      <c r="B154" s="35" t="s">
        <v>499</v>
      </c>
      <c r="C154" s="35" t="s">
        <v>544</v>
      </c>
      <c r="D154" s="35" t="s">
        <v>545</v>
      </c>
      <c r="E154" s="35" t="s">
        <v>484</v>
      </c>
    </row>
    <row r="155">
      <c r="A155" s="35">
        <v>154.0</v>
      </c>
      <c r="B155" s="35" t="s">
        <v>499</v>
      </c>
      <c r="C155" s="35" t="s">
        <v>546</v>
      </c>
      <c r="D155" s="35" t="s">
        <v>547</v>
      </c>
      <c r="E155" s="35" t="s">
        <v>484</v>
      </c>
    </row>
    <row r="156">
      <c r="A156" s="35">
        <v>155.0</v>
      </c>
      <c r="B156" s="35" t="s">
        <v>499</v>
      </c>
      <c r="C156" s="35" t="s">
        <v>548</v>
      </c>
      <c r="D156" s="35" t="s">
        <v>549</v>
      </c>
      <c r="E156" s="35" t="s">
        <v>484</v>
      </c>
    </row>
    <row r="157">
      <c r="A157" s="35">
        <v>156.0</v>
      </c>
      <c r="B157" s="35" t="s">
        <v>499</v>
      </c>
      <c r="C157" s="35" t="s">
        <v>550</v>
      </c>
      <c r="D157" s="35" t="s">
        <v>551</v>
      </c>
      <c r="E157" s="35" t="s">
        <v>484</v>
      </c>
    </row>
    <row r="158">
      <c r="A158" s="35">
        <v>157.0</v>
      </c>
      <c r="B158" s="35" t="s">
        <v>499</v>
      </c>
      <c r="C158" s="35" t="s">
        <v>552</v>
      </c>
      <c r="D158" s="35" t="s">
        <v>553</v>
      </c>
      <c r="E158" s="35" t="s">
        <v>484</v>
      </c>
    </row>
    <row r="159">
      <c r="A159" s="35">
        <v>158.0</v>
      </c>
      <c r="B159" s="35" t="s">
        <v>499</v>
      </c>
      <c r="C159" s="35" t="s">
        <v>554</v>
      </c>
      <c r="D159" s="35" t="s">
        <v>555</v>
      </c>
      <c r="E159" s="35" t="s">
        <v>484</v>
      </c>
    </row>
    <row r="160">
      <c r="A160" s="35">
        <v>159.0</v>
      </c>
      <c r="B160" s="35" t="s">
        <v>499</v>
      </c>
      <c r="C160" s="35" t="s">
        <v>556</v>
      </c>
      <c r="D160" s="35" t="s">
        <v>557</v>
      </c>
      <c r="E160" s="35" t="s">
        <v>484</v>
      </c>
    </row>
    <row r="161">
      <c r="A161" s="35">
        <v>160.0</v>
      </c>
      <c r="B161" s="35" t="s">
        <v>499</v>
      </c>
      <c r="C161" s="35" t="s">
        <v>558</v>
      </c>
      <c r="D161" s="35" t="s">
        <v>559</v>
      </c>
      <c r="E161" s="35" t="s">
        <v>484</v>
      </c>
    </row>
    <row r="162">
      <c r="A162" s="35">
        <v>161.0</v>
      </c>
      <c r="B162" s="35" t="s">
        <v>499</v>
      </c>
      <c r="C162" s="35" t="s">
        <v>560</v>
      </c>
      <c r="D162" s="35" t="s">
        <v>561</v>
      </c>
      <c r="E162" s="35" t="s">
        <v>484</v>
      </c>
    </row>
    <row r="163">
      <c r="A163" s="35">
        <v>162.0</v>
      </c>
      <c r="B163" s="35" t="s">
        <v>499</v>
      </c>
      <c r="C163" s="35" t="s">
        <v>562</v>
      </c>
      <c r="D163" s="35" t="s">
        <v>563</v>
      </c>
      <c r="E163" s="35" t="s">
        <v>484</v>
      </c>
    </row>
    <row r="164">
      <c r="A164" s="35">
        <v>163.0</v>
      </c>
      <c r="B164" s="35" t="s">
        <v>499</v>
      </c>
      <c r="C164" s="35" t="s">
        <v>564</v>
      </c>
      <c r="D164" s="35" t="s">
        <v>565</v>
      </c>
      <c r="E164" s="35" t="s">
        <v>484</v>
      </c>
    </row>
    <row r="165">
      <c r="A165" s="35">
        <v>164.0</v>
      </c>
      <c r="B165" s="35" t="s">
        <v>499</v>
      </c>
      <c r="C165" s="35" t="s">
        <v>566</v>
      </c>
      <c r="D165" s="35" t="s">
        <v>565</v>
      </c>
      <c r="E165" s="35" t="s">
        <v>484</v>
      </c>
    </row>
    <row r="166">
      <c r="A166" s="35">
        <v>165.0</v>
      </c>
      <c r="B166" s="35" t="s">
        <v>499</v>
      </c>
      <c r="C166" s="35" t="s">
        <v>567</v>
      </c>
      <c r="D166" s="35" t="s">
        <v>568</v>
      </c>
      <c r="E166" s="35" t="s">
        <v>484</v>
      </c>
    </row>
    <row r="167">
      <c r="A167" s="35">
        <v>166.0</v>
      </c>
      <c r="B167" s="35" t="s">
        <v>499</v>
      </c>
      <c r="C167" s="35" t="s">
        <v>569</v>
      </c>
      <c r="D167" s="35" t="s">
        <v>570</v>
      </c>
      <c r="E167" s="35" t="s">
        <v>484</v>
      </c>
    </row>
    <row r="168">
      <c r="A168" s="35">
        <v>167.0</v>
      </c>
      <c r="B168" s="35" t="s">
        <v>499</v>
      </c>
      <c r="C168" s="35" t="s">
        <v>571</v>
      </c>
      <c r="D168" s="35" t="s">
        <v>430</v>
      </c>
      <c r="E168" s="35" t="s">
        <v>484</v>
      </c>
    </row>
    <row r="169">
      <c r="A169" s="35">
        <v>168.0</v>
      </c>
      <c r="B169" s="35" t="s">
        <v>499</v>
      </c>
      <c r="C169" s="35" t="s">
        <v>572</v>
      </c>
      <c r="D169" s="35" t="s">
        <v>573</v>
      </c>
      <c r="E169" s="35" t="s">
        <v>484</v>
      </c>
    </row>
    <row r="170">
      <c r="A170" s="35">
        <v>169.0</v>
      </c>
      <c r="B170" s="35" t="s">
        <v>499</v>
      </c>
      <c r="C170" s="35" t="s">
        <v>574</v>
      </c>
      <c r="D170" s="35" t="s">
        <v>575</v>
      </c>
      <c r="E170" s="35" t="s">
        <v>484</v>
      </c>
    </row>
    <row r="171">
      <c r="A171" s="35">
        <v>170.0</v>
      </c>
      <c r="B171" s="35" t="s">
        <v>499</v>
      </c>
      <c r="C171" s="35" t="s">
        <v>576</v>
      </c>
      <c r="D171" s="35">
        <v>3.13</v>
      </c>
      <c r="E171" s="35" t="s">
        <v>484</v>
      </c>
    </row>
    <row r="172">
      <c r="A172" s="35">
        <v>171.0</v>
      </c>
      <c r="B172" s="35" t="s">
        <v>499</v>
      </c>
      <c r="C172" s="35" t="s">
        <v>577</v>
      </c>
      <c r="D172" s="35" t="s">
        <v>578</v>
      </c>
      <c r="E172" s="35" t="s">
        <v>484</v>
      </c>
    </row>
    <row r="173">
      <c r="A173" s="35">
        <v>172.0</v>
      </c>
      <c r="B173" s="35" t="s">
        <v>499</v>
      </c>
      <c r="C173" s="35" t="s">
        <v>579</v>
      </c>
      <c r="D173" s="35" t="s">
        <v>580</v>
      </c>
      <c r="E173" s="35" t="s">
        <v>484</v>
      </c>
    </row>
    <row r="174">
      <c r="A174" s="35">
        <v>173.0</v>
      </c>
      <c r="B174" s="35" t="s">
        <v>499</v>
      </c>
      <c r="C174" s="35" t="s">
        <v>581</v>
      </c>
      <c r="D174" s="35" t="s">
        <v>582</v>
      </c>
      <c r="E174" s="35" t="s">
        <v>484</v>
      </c>
    </row>
    <row r="175">
      <c r="A175" s="35">
        <v>174.0</v>
      </c>
      <c r="B175" s="35" t="s">
        <v>499</v>
      </c>
      <c r="C175" s="35" t="s">
        <v>583</v>
      </c>
      <c r="D175" s="35" t="s">
        <v>381</v>
      </c>
      <c r="E175" s="35" t="s">
        <v>484</v>
      </c>
    </row>
    <row r="176">
      <c r="A176" s="35">
        <v>175.0</v>
      </c>
      <c r="B176" s="35" t="s">
        <v>499</v>
      </c>
      <c r="C176" s="35" t="s">
        <v>584</v>
      </c>
      <c r="D176" s="35" t="s">
        <v>585</v>
      </c>
      <c r="E176" s="35" t="s">
        <v>484</v>
      </c>
    </row>
    <row r="177">
      <c r="A177" s="35">
        <v>176.0</v>
      </c>
      <c r="B177" s="35" t="s">
        <v>499</v>
      </c>
      <c r="C177" s="35" t="s">
        <v>586</v>
      </c>
      <c r="D177" s="35" t="s">
        <v>587</v>
      </c>
      <c r="E177" s="35" t="s">
        <v>484</v>
      </c>
    </row>
    <row r="178">
      <c r="A178" s="35">
        <v>177.0</v>
      </c>
      <c r="B178" s="35" t="s">
        <v>499</v>
      </c>
      <c r="C178" s="35" t="s">
        <v>588</v>
      </c>
      <c r="D178" s="35" t="s">
        <v>589</v>
      </c>
      <c r="E178" s="35" t="s">
        <v>484</v>
      </c>
    </row>
    <row r="179">
      <c r="A179" s="35">
        <v>178.0</v>
      </c>
      <c r="B179" s="35" t="s">
        <v>499</v>
      </c>
      <c r="C179" s="35" t="s">
        <v>590</v>
      </c>
      <c r="D179" s="35" t="s">
        <v>380</v>
      </c>
      <c r="E179" s="35" t="s">
        <v>484</v>
      </c>
    </row>
    <row r="180">
      <c r="A180" s="35">
        <v>179.0</v>
      </c>
      <c r="B180" s="35" t="s">
        <v>499</v>
      </c>
      <c r="C180" s="35" t="s">
        <v>591</v>
      </c>
      <c r="D180" s="35" t="s">
        <v>592</v>
      </c>
      <c r="E180" s="35" t="s">
        <v>484</v>
      </c>
    </row>
    <row r="181">
      <c r="A181" s="35">
        <v>180.0</v>
      </c>
      <c r="B181" s="35" t="s">
        <v>499</v>
      </c>
      <c r="C181" s="35" t="s">
        <v>593</v>
      </c>
      <c r="D181" s="35" t="s">
        <v>437</v>
      </c>
      <c r="E181" s="35" t="s">
        <v>484</v>
      </c>
    </row>
    <row r="182">
      <c r="A182" s="35">
        <v>181.0</v>
      </c>
      <c r="B182" s="35" t="s">
        <v>499</v>
      </c>
      <c r="C182" s="35" t="s">
        <v>594</v>
      </c>
      <c r="D182" s="35" t="s">
        <v>437</v>
      </c>
      <c r="E182" s="35" t="s">
        <v>484</v>
      </c>
    </row>
    <row r="183">
      <c r="A183" s="35">
        <v>182.0</v>
      </c>
      <c r="B183" s="35" t="s">
        <v>499</v>
      </c>
      <c r="C183" s="35" t="s">
        <v>595</v>
      </c>
      <c r="D183" s="35" t="s">
        <v>592</v>
      </c>
      <c r="E183" s="35" t="s">
        <v>484</v>
      </c>
    </row>
    <row r="184">
      <c r="A184" s="35">
        <v>183.0</v>
      </c>
      <c r="B184" s="35" t="s">
        <v>499</v>
      </c>
      <c r="C184" s="35" t="s">
        <v>596</v>
      </c>
      <c r="D184" s="35" t="s">
        <v>592</v>
      </c>
      <c r="E184" s="35" t="s">
        <v>484</v>
      </c>
    </row>
    <row r="185">
      <c r="A185" s="35">
        <v>184.0</v>
      </c>
      <c r="B185" s="35" t="s">
        <v>499</v>
      </c>
      <c r="C185" s="35" t="s">
        <v>597</v>
      </c>
      <c r="D185" s="35" t="s">
        <v>592</v>
      </c>
      <c r="E185" s="35" t="s">
        <v>484</v>
      </c>
    </row>
    <row r="186">
      <c r="A186" s="35">
        <v>185.0</v>
      </c>
      <c r="B186" s="35" t="s">
        <v>499</v>
      </c>
      <c r="C186" s="35" t="s">
        <v>598</v>
      </c>
      <c r="D186" s="35" t="s">
        <v>592</v>
      </c>
      <c r="E186" s="35" t="s">
        <v>484</v>
      </c>
    </row>
    <row r="187">
      <c r="A187" s="35">
        <v>186.0</v>
      </c>
      <c r="B187" s="35" t="s">
        <v>499</v>
      </c>
      <c r="C187" s="35" t="s">
        <v>599</v>
      </c>
      <c r="D187" s="35" t="s">
        <v>592</v>
      </c>
      <c r="E187" s="35" t="s">
        <v>484</v>
      </c>
    </row>
    <row r="188">
      <c r="A188" s="35">
        <v>187.0</v>
      </c>
      <c r="B188" s="35" t="s">
        <v>499</v>
      </c>
      <c r="C188" s="35" t="s">
        <v>600</v>
      </c>
      <c r="D188" s="35" t="s">
        <v>381</v>
      </c>
      <c r="E188" s="35" t="s">
        <v>484</v>
      </c>
    </row>
    <row r="189">
      <c r="A189" s="35">
        <v>188.0</v>
      </c>
      <c r="B189" s="35" t="s">
        <v>499</v>
      </c>
      <c r="C189" s="35" t="s">
        <v>601</v>
      </c>
      <c r="D189" s="35" t="s">
        <v>602</v>
      </c>
      <c r="E189" s="35" t="s">
        <v>484</v>
      </c>
    </row>
    <row r="190">
      <c r="A190" s="35">
        <v>189.0</v>
      </c>
      <c r="B190" s="35" t="s">
        <v>499</v>
      </c>
      <c r="C190" s="35" t="s">
        <v>603</v>
      </c>
      <c r="D190" s="35" t="s">
        <v>604</v>
      </c>
      <c r="E190" s="35" t="s">
        <v>484</v>
      </c>
    </row>
    <row r="191">
      <c r="A191" s="35">
        <v>190.0</v>
      </c>
      <c r="B191" s="35" t="s">
        <v>499</v>
      </c>
      <c r="C191" s="35" t="s">
        <v>605</v>
      </c>
      <c r="D191" s="35" t="s">
        <v>606</v>
      </c>
      <c r="E191" s="35" t="s">
        <v>484</v>
      </c>
    </row>
    <row r="192">
      <c r="A192" s="35">
        <v>191.0</v>
      </c>
      <c r="B192" s="35" t="s">
        <v>499</v>
      </c>
      <c r="C192" s="35" t="s">
        <v>607</v>
      </c>
      <c r="D192" s="35" t="s">
        <v>608</v>
      </c>
      <c r="E192" s="35" t="s">
        <v>484</v>
      </c>
    </row>
    <row r="193">
      <c r="A193" s="35">
        <v>192.0</v>
      </c>
      <c r="B193" s="35" t="s">
        <v>499</v>
      </c>
      <c r="C193" s="35" t="s">
        <v>609</v>
      </c>
      <c r="D193" s="35" t="s">
        <v>610</v>
      </c>
      <c r="E193" s="35" t="s">
        <v>484</v>
      </c>
    </row>
    <row r="194">
      <c r="A194" s="35">
        <v>193.0</v>
      </c>
      <c r="B194" s="35" t="s">
        <v>499</v>
      </c>
      <c r="C194" s="35" t="s">
        <v>611</v>
      </c>
      <c r="D194" s="35" t="s">
        <v>612</v>
      </c>
      <c r="E194" s="35" t="s">
        <v>484</v>
      </c>
    </row>
    <row r="195">
      <c r="A195" s="35">
        <v>194.0</v>
      </c>
      <c r="B195" s="35" t="s">
        <v>499</v>
      </c>
      <c r="C195" s="35" t="s">
        <v>613</v>
      </c>
      <c r="D195" s="35" t="s">
        <v>437</v>
      </c>
      <c r="E195" s="35" t="s">
        <v>484</v>
      </c>
    </row>
    <row r="196">
      <c r="A196" s="35">
        <v>195.0</v>
      </c>
      <c r="B196" s="35" t="s">
        <v>499</v>
      </c>
      <c r="C196" s="35" t="s">
        <v>614</v>
      </c>
      <c r="D196" s="35" t="s">
        <v>493</v>
      </c>
      <c r="E196" s="35" t="s">
        <v>484</v>
      </c>
    </row>
    <row r="197">
      <c r="A197" s="35">
        <v>196.0</v>
      </c>
      <c r="B197" s="35" t="s">
        <v>499</v>
      </c>
      <c r="C197" s="35" t="s">
        <v>615</v>
      </c>
      <c r="D197" s="35" t="s">
        <v>616</v>
      </c>
      <c r="E197" s="35" t="s">
        <v>484</v>
      </c>
    </row>
    <row r="198">
      <c r="A198" s="35">
        <v>197.0</v>
      </c>
      <c r="B198" s="35" t="s">
        <v>499</v>
      </c>
      <c r="C198" s="35" t="s">
        <v>617</v>
      </c>
      <c r="D198" s="35" t="s">
        <v>618</v>
      </c>
      <c r="E198" s="35" t="s">
        <v>484</v>
      </c>
    </row>
    <row r="199">
      <c r="A199" s="35">
        <v>198.0</v>
      </c>
      <c r="B199" s="35" t="s">
        <v>499</v>
      </c>
      <c r="C199" s="35" t="s">
        <v>619</v>
      </c>
      <c r="D199" s="35" t="s">
        <v>620</v>
      </c>
      <c r="E199" s="35" t="s">
        <v>484</v>
      </c>
    </row>
    <row r="200">
      <c r="A200" s="35">
        <v>199.0</v>
      </c>
      <c r="B200" s="35" t="s">
        <v>499</v>
      </c>
      <c r="C200" s="35" t="s">
        <v>621</v>
      </c>
      <c r="D200" s="35" t="s">
        <v>622</v>
      </c>
      <c r="E200" s="35" t="s">
        <v>484</v>
      </c>
    </row>
    <row r="201">
      <c r="A201" s="35">
        <v>200.0</v>
      </c>
      <c r="B201" s="35" t="s">
        <v>499</v>
      </c>
      <c r="C201" s="35" t="s">
        <v>623</v>
      </c>
      <c r="D201" s="35" t="s">
        <v>624</v>
      </c>
      <c r="E201" s="35" t="s">
        <v>484</v>
      </c>
    </row>
    <row r="202">
      <c r="A202" s="35">
        <v>201.0</v>
      </c>
      <c r="B202" s="35" t="s">
        <v>499</v>
      </c>
      <c r="C202" s="35" t="s">
        <v>625</v>
      </c>
      <c r="D202" s="35" t="s">
        <v>626</v>
      </c>
      <c r="E202" s="35" t="s">
        <v>484</v>
      </c>
    </row>
    <row r="203">
      <c r="A203" s="35">
        <v>202.0</v>
      </c>
      <c r="B203" s="35" t="s">
        <v>499</v>
      </c>
      <c r="C203" s="35" t="s">
        <v>627</v>
      </c>
      <c r="D203" s="35" t="s">
        <v>626</v>
      </c>
      <c r="E203" s="35" t="s">
        <v>484</v>
      </c>
    </row>
    <row r="204">
      <c r="A204" s="35">
        <v>203.0</v>
      </c>
      <c r="B204" s="35" t="s">
        <v>499</v>
      </c>
      <c r="C204" s="35" t="s">
        <v>628</v>
      </c>
      <c r="D204" s="35" t="s">
        <v>626</v>
      </c>
      <c r="E204" s="35" t="s">
        <v>484</v>
      </c>
    </row>
    <row r="205">
      <c r="A205" s="35">
        <v>204.0</v>
      </c>
      <c r="B205" s="35" t="s">
        <v>499</v>
      </c>
      <c r="C205" s="35" t="s">
        <v>629</v>
      </c>
      <c r="D205" s="35" t="s">
        <v>626</v>
      </c>
      <c r="E205" s="35" t="s">
        <v>484</v>
      </c>
    </row>
    <row r="206">
      <c r="A206" s="35">
        <v>205.0</v>
      </c>
      <c r="B206" s="35" t="s">
        <v>499</v>
      </c>
      <c r="C206" s="35" t="s">
        <v>630</v>
      </c>
      <c r="D206" s="35" t="s">
        <v>626</v>
      </c>
      <c r="E206" s="35" t="s">
        <v>484</v>
      </c>
    </row>
    <row r="207">
      <c r="A207" s="35">
        <v>206.0</v>
      </c>
      <c r="B207" s="35" t="s">
        <v>499</v>
      </c>
      <c r="C207" s="35" t="s">
        <v>631</v>
      </c>
      <c r="D207" s="35" t="s">
        <v>626</v>
      </c>
      <c r="E207" s="35" t="s">
        <v>484</v>
      </c>
    </row>
    <row r="208">
      <c r="A208" s="35">
        <v>207.0</v>
      </c>
      <c r="B208" s="35" t="s">
        <v>499</v>
      </c>
      <c r="C208" s="35" t="s">
        <v>632</v>
      </c>
      <c r="D208" s="35" t="s">
        <v>626</v>
      </c>
      <c r="E208" s="35" t="s">
        <v>484</v>
      </c>
    </row>
    <row r="209">
      <c r="A209" s="35">
        <v>208.0</v>
      </c>
      <c r="B209" s="35" t="s">
        <v>499</v>
      </c>
      <c r="C209" s="35" t="s">
        <v>633</v>
      </c>
      <c r="D209" s="35" t="s">
        <v>634</v>
      </c>
      <c r="E209" s="35" t="s">
        <v>484</v>
      </c>
    </row>
    <row r="210">
      <c r="A210" s="35">
        <v>209.0</v>
      </c>
      <c r="B210" s="35" t="s">
        <v>499</v>
      </c>
      <c r="C210" s="35" t="s">
        <v>635</v>
      </c>
      <c r="D210" s="35">
        <v>26.2</v>
      </c>
      <c r="E210" s="35" t="s">
        <v>484</v>
      </c>
    </row>
    <row r="211">
      <c r="A211" s="35">
        <v>210.0</v>
      </c>
      <c r="B211" s="35" t="s">
        <v>499</v>
      </c>
      <c r="C211" s="35" t="s">
        <v>636</v>
      </c>
      <c r="D211" s="35" t="s">
        <v>437</v>
      </c>
      <c r="E211" s="35" t="s">
        <v>484</v>
      </c>
    </row>
    <row r="212">
      <c r="A212" s="35">
        <v>211.0</v>
      </c>
      <c r="B212" s="35" t="s">
        <v>499</v>
      </c>
      <c r="C212" s="35" t="s">
        <v>637</v>
      </c>
      <c r="D212" s="35" t="s">
        <v>638</v>
      </c>
      <c r="E212" s="35" t="s">
        <v>484</v>
      </c>
    </row>
    <row r="213">
      <c r="A213" s="35">
        <v>212.0</v>
      </c>
      <c r="B213" s="35" t="s">
        <v>499</v>
      </c>
      <c r="C213" s="35" t="s">
        <v>639</v>
      </c>
      <c r="D213" s="35" t="s">
        <v>640</v>
      </c>
      <c r="E213" s="35" t="s">
        <v>484</v>
      </c>
    </row>
    <row r="214">
      <c r="A214" s="35">
        <v>213.0</v>
      </c>
      <c r="B214" s="35" t="s">
        <v>499</v>
      </c>
      <c r="C214" s="35" t="s">
        <v>641</v>
      </c>
      <c r="D214" s="35" t="s">
        <v>493</v>
      </c>
      <c r="E214" s="35" t="s">
        <v>484</v>
      </c>
    </row>
    <row r="215">
      <c r="A215" s="35">
        <v>214.0</v>
      </c>
      <c r="B215" s="35" t="s">
        <v>499</v>
      </c>
      <c r="C215" s="35" t="s">
        <v>642</v>
      </c>
      <c r="D215" s="35" t="s">
        <v>643</v>
      </c>
      <c r="E215" s="35" t="s">
        <v>484</v>
      </c>
    </row>
    <row r="216">
      <c r="A216" s="35">
        <v>215.0</v>
      </c>
      <c r="B216" s="35" t="s">
        <v>499</v>
      </c>
      <c r="C216" s="35" t="s">
        <v>644</v>
      </c>
      <c r="D216" s="35" t="s">
        <v>508</v>
      </c>
      <c r="E216" s="35" t="s">
        <v>484</v>
      </c>
    </row>
    <row r="217">
      <c r="A217" s="35">
        <v>216.0</v>
      </c>
      <c r="B217" s="35" t="s">
        <v>499</v>
      </c>
      <c r="C217" s="35" t="s">
        <v>645</v>
      </c>
      <c r="D217" s="35" t="s">
        <v>646</v>
      </c>
      <c r="E217" s="35" t="s">
        <v>484</v>
      </c>
    </row>
    <row r="218">
      <c r="A218" s="35">
        <v>217.0</v>
      </c>
      <c r="B218" s="35" t="s">
        <v>499</v>
      </c>
      <c r="C218" s="35" t="s">
        <v>647</v>
      </c>
      <c r="D218" s="35" t="s">
        <v>648</v>
      </c>
      <c r="E218" s="35" t="s">
        <v>484</v>
      </c>
    </row>
    <row r="219">
      <c r="A219" s="35">
        <v>218.0</v>
      </c>
      <c r="B219" s="35" t="s">
        <v>499</v>
      </c>
      <c r="C219" s="35" t="s">
        <v>649</v>
      </c>
      <c r="D219" s="35" t="s">
        <v>650</v>
      </c>
      <c r="E219" s="35" t="s">
        <v>484</v>
      </c>
    </row>
    <row r="220">
      <c r="A220" s="35">
        <v>219.0</v>
      </c>
      <c r="B220" s="35" t="s">
        <v>499</v>
      </c>
      <c r="C220" s="35" t="s">
        <v>651</v>
      </c>
      <c r="D220" s="35" t="s">
        <v>652</v>
      </c>
      <c r="E220" s="35" t="s">
        <v>484</v>
      </c>
    </row>
    <row r="221">
      <c r="A221" s="35">
        <v>220.0</v>
      </c>
      <c r="B221" s="35" t="s">
        <v>499</v>
      </c>
      <c r="C221" s="35" t="s">
        <v>653</v>
      </c>
      <c r="D221" s="35" t="s">
        <v>654</v>
      </c>
      <c r="E221" s="35" t="s">
        <v>484</v>
      </c>
    </row>
    <row r="222">
      <c r="A222" s="35">
        <v>221.0</v>
      </c>
      <c r="B222" s="35" t="s">
        <v>499</v>
      </c>
      <c r="C222" s="35" t="s">
        <v>655</v>
      </c>
      <c r="D222" s="35" t="s">
        <v>656</v>
      </c>
      <c r="E222" s="35" t="s">
        <v>484</v>
      </c>
    </row>
    <row r="223">
      <c r="A223" s="35">
        <v>222.0</v>
      </c>
      <c r="B223" s="35" t="s">
        <v>499</v>
      </c>
      <c r="C223" s="35" t="s">
        <v>657</v>
      </c>
      <c r="D223" s="35" t="s">
        <v>656</v>
      </c>
      <c r="E223" s="35" t="s">
        <v>484</v>
      </c>
    </row>
    <row r="224">
      <c r="A224" s="35">
        <v>223.0</v>
      </c>
      <c r="B224" s="35" t="s">
        <v>499</v>
      </c>
      <c r="C224" s="35" t="s">
        <v>658</v>
      </c>
      <c r="D224" s="35" t="s">
        <v>659</v>
      </c>
      <c r="E224" s="35" t="s">
        <v>484</v>
      </c>
    </row>
    <row r="225">
      <c r="A225" s="35">
        <v>224.0</v>
      </c>
      <c r="B225" s="35" t="s">
        <v>499</v>
      </c>
      <c r="C225" s="35" t="s">
        <v>660</v>
      </c>
      <c r="D225" s="35" t="s">
        <v>661</v>
      </c>
      <c r="E225" s="35" t="s">
        <v>484</v>
      </c>
    </row>
    <row r="226">
      <c r="A226" s="35">
        <v>225.0</v>
      </c>
      <c r="B226" s="35" t="s">
        <v>499</v>
      </c>
      <c r="C226" s="35" t="s">
        <v>662</v>
      </c>
      <c r="D226" s="35">
        <v>3.0</v>
      </c>
      <c r="E226" s="35" t="s">
        <v>484</v>
      </c>
    </row>
    <row r="227">
      <c r="A227" s="35">
        <v>226.0</v>
      </c>
      <c r="B227" s="35" t="s">
        <v>499</v>
      </c>
      <c r="C227" s="35" t="s">
        <v>663</v>
      </c>
      <c r="D227" s="35" t="s">
        <v>664</v>
      </c>
      <c r="E227" s="35" t="s">
        <v>484</v>
      </c>
    </row>
    <row r="228">
      <c r="A228" s="35">
        <v>227.0</v>
      </c>
      <c r="B228" s="35" t="s">
        <v>499</v>
      </c>
      <c r="C228" s="35" t="s">
        <v>665</v>
      </c>
      <c r="D228" s="35" t="s">
        <v>666</v>
      </c>
      <c r="E228" s="35" t="s">
        <v>484</v>
      </c>
    </row>
    <row r="229">
      <c r="A229" s="35">
        <v>228.0</v>
      </c>
      <c r="B229" s="35" t="s">
        <v>499</v>
      </c>
      <c r="C229" s="35" t="s">
        <v>667</v>
      </c>
      <c r="D229" s="35" t="s">
        <v>668</v>
      </c>
      <c r="E229" s="35" t="s">
        <v>484</v>
      </c>
    </row>
    <row r="230">
      <c r="A230" s="35">
        <v>229.0</v>
      </c>
      <c r="B230" s="35" t="s">
        <v>499</v>
      </c>
      <c r="C230" s="35" t="s">
        <v>669</v>
      </c>
      <c r="D230" s="35" t="s">
        <v>670</v>
      </c>
      <c r="E230" s="35" t="s">
        <v>484</v>
      </c>
    </row>
    <row r="231">
      <c r="A231" s="35">
        <v>230.0</v>
      </c>
      <c r="B231" s="35" t="s">
        <v>499</v>
      </c>
      <c r="C231" s="35" t="s">
        <v>671</v>
      </c>
      <c r="D231" s="35" t="s">
        <v>672</v>
      </c>
      <c r="E231" s="35" t="s">
        <v>484</v>
      </c>
    </row>
    <row r="232">
      <c r="A232" s="35">
        <v>231.0</v>
      </c>
      <c r="B232" s="35" t="s">
        <v>499</v>
      </c>
      <c r="C232" s="35" t="s">
        <v>673</v>
      </c>
      <c r="D232" s="35" t="s">
        <v>674</v>
      </c>
      <c r="E232" s="35" t="s">
        <v>484</v>
      </c>
    </row>
    <row r="233">
      <c r="A233" s="35">
        <v>232.0</v>
      </c>
      <c r="B233" s="35" t="s">
        <v>499</v>
      </c>
      <c r="C233" s="35" t="s">
        <v>675</v>
      </c>
      <c r="D233" s="35" t="s">
        <v>676</v>
      </c>
      <c r="E233" s="35" t="s">
        <v>484</v>
      </c>
    </row>
    <row r="234">
      <c r="A234" s="35">
        <v>233.0</v>
      </c>
      <c r="B234" s="35" t="s">
        <v>499</v>
      </c>
      <c r="C234" s="35" t="s">
        <v>677</v>
      </c>
      <c r="D234" s="35" t="s">
        <v>409</v>
      </c>
      <c r="E234" s="35" t="s">
        <v>484</v>
      </c>
    </row>
    <row r="235">
      <c r="A235" s="35">
        <v>234.0</v>
      </c>
      <c r="B235" s="35" t="s">
        <v>499</v>
      </c>
      <c r="C235" s="35" t="s">
        <v>678</v>
      </c>
      <c r="D235" s="35" t="s">
        <v>409</v>
      </c>
      <c r="E235" s="35" t="s">
        <v>484</v>
      </c>
    </row>
    <row r="236">
      <c r="A236" s="35">
        <v>235.0</v>
      </c>
      <c r="B236" s="35" t="s">
        <v>499</v>
      </c>
      <c r="C236" s="35" t="s">
        <v>679</v>
      </c>
      <c r="D236" s="35" t="s">
        <v>680</v>
      </c>
      <c r="E236" s="35" t="s">
        <v>484</v>
      </c>
    </row>
    <row r="237">
      <c r="A237" s="35">
        <v>236.0</v>
      </c>
      <c r="B237" s="35" t="s">
        <v>499</v>
      </c>
      <c r="C237" s="35" t="s">
        <v>681</v>
      </c>
      <c r="D237" s="35" t="s">
        <v>682</v>
      </c>
      <c r="E237" s="35" t="s">
        <v>484</v>
      </c>
    </row>
    <row r="238">
      <c r="A238" s="35">
        <v>237.0</v>
      </c>
      <c r="B238" s="35" t="s">
        <v>499</v>
      </c>
      <c r="C238" s="35" t="s">
        <v>683</v>
      </c>
      <c r="D238" s="35" t="s">
        <v>684</v>
      </c>
      <c r="E238" s="35" t="s">
        <v>484</v>
      </c>
    </row>
    <row r="239">
      <c r="A239" s="35">
        <v>238.0</v>
      </c>
      <c r="B239" s="35" t="s">
        <v>499</v>
      </c>
      <c r="C239" s="35" t="s">
        <v>685</v>
      </c>
      <c r="D239" s="35" t="s">
        <v>686</v>
      </c>
      <c r="E239" s="35" t="s">
        <v>484</v>
      </c>
    </row>
    <row r="240">
      <c r="A240" s="35">
        <v>239.0</v>
      </c>
      <c r="B240" s="35" t="s">
        <v>499</v>
      </c>
      <c r="C240" s="35" t="s">
        <v>687</v>
      </c>
      <c r="D240" s="35" t="s">
        <v>688</v>
      </c>
      <c r="E240" s="35" t="s">
        <v>484</v>
      </c>
    </row>
    <row r="241">
      <c r="A241" s="35">
        <v>240.0</v>
      </c>
      <c r="B241" s="35" t="s">
        <v>499</v>
      </c>
      <c r="C241" s="35" t="s">
        <v>689</v>
      </c>
      <c r="D241" s="35" t="s">
        <v>690</v>
      </c>
      <c r="E241" s="35" t="s">
        <v>484</v>
      </c>
    </row>
    <row r="242">
      <c r="A242" s="35">
        <v>241.0</v>
      </c>
      <c r="B242" s="35" t="s">
        <v>499</v>
      </c>
      <c r="C242" s="35" t="s">
        <v>691</v>
      </c>
      <c r="D242" s="35" t="s">
        <v>692</v>
      </c>
      <c r="E242" s="35" t="s">
        <v>484</v>
      </c>
    </row>
    <row r="243">
      <c r="A243" s="35">
        <v>242.0</v>
      </c>
      <c r="B243" s="35" t="s">
        <v>499</v>
      </c>
      <c r="C243" s="35" t="s">
        <v>693</v>
      </c>
      <c r="D243" s="35" t="s">
        <v>694</v>
      </c>
      <c r="E243" s="35" t="s">
        <v>484</v>
      </c>
    </row>
    <row r="244">
      <c r="A244" s="35">
        <v>243.0</v>
      </c>
      <c r="B244" s="35" t="s">
        <v>499</v>
      </c>
      <c r="C244" s="35" t="s">
        <v>695</v>
      </c>
      <c r="D244" s="35" t="s">
        <v>696</v>
      </c>
      <c r="E244" s="35" t="s">
        <v>484</v>
      </c>
    </row>
    <row r="245">
      <c r="A245" s="35">
        <v>244.0</v>
      </c>
      <c r="B245" s="35" t="s">
        <v>499</v>
      </c>
      <c r="C245" s="35" t="s">
        <v>697</v>
      </c>
      <c r="D245" s="35" t="s">
        <v>698</v>
      </c>
      <c r="E245" s="35" t="s">
        <v>484</v>
      </c>
    </row>
    <row r="246">
      <c r="A246" s="35">
        <v>245.0</v>
      </c>
      <c r="B246" s="35" t="s">
        <v>499</v>
      </c>
      <c r="C246" s="35" t="s">
        <v>699</v>
      </c>
      <c r="D246" s="35" t="s">
        <v>700</v>
      </c>
      <c r="E246" s="35" t="s">
        <v>484</v>
      </c>
    </row>
    <row r="247">
      <c r="A247" s="35">
        <v>246.0</v>
      </c>
      <c r="B247" s="35" t="s">
        <v>499</v>
      </c>
      <c r="C247" s="35" t="s">
        <v>701</v>
      </c>
      <c r="D247" s="35" t="s">
        <v>702</v>
      </c>
      <c r="E247" s="35" t="s">
        <v>484</v>
      </c>
    </row>
    <row r="248">
      <c r="A248" s="35">
        <v>247.0</v>
      </c>
      <c r="B248" s="35" t="s">
        <v>499</v>
      </c>
      <c r="C248" s="35" t="s">
        <v>703</v>
      </c>
      <c r="D248" s="35" t="s">
        <v>704</v>
      </c>
      <c r="E248" s="35" t="s">
        <v>484</v>
      </c>
    </row>
    <row r="249">
      <c r="A249" s="35">
        <v>248.0</v>
      </c>
      <c r="B249" s="35" t="s">
        <v>499</v>
      </c>
      <c r="C249" s="35" t="s">
        <v>705</v>
      </c>
      <c r="D249" s="35" t="s">
        <v>706</v>
      </c>
      <c r="E249" s="35" t="s">
        <v>484</v>
      </c>
    </row>
    <row r="250">
      <c r="A250" s="35">
        <v>249.0</v>
      </c>
      <c r="B250" s="35" t="s">
        <v>499</v>
      </c>
      <c r="C250" s="35" t="s">
        <v>707</v>
      </c>
      <c r="D250" s="35" t="s">
        <v>708</v>
      </c>
      <c r="E250" s="35" t="s">
        <v>484</v>
      </c>
    </row>
    <row r="251">
      <c r="A251" s="35">
        <v>250.0</v>
      </c>
      <c r="B251" s="35" t="s">
        <v>499</v>
      </c>
      <c r="C251" s="35" t="s">
        <v>709</v>
      </c>
      <c r="D251" s="35" t="s">
        <v>710</v>
      </c>
      <c r="E251" s="35" t="s">
        <v>484</v>
      </c>
    </row>
    <row r="252">
      <c r="A252" s="35">
        <v>251.0</v>
      </c>
      <c r="B252" s="35" t="s">
        <v>499</v>
      </c>
      <c r="C252" s="35" t="s">
        <v>711</v>
      </c>
      <c r="D252" s="35" t="s">
        <v>712</v>
      </c>
      <c r="E252" s="35" t="s">
        <v>484</v>
      </c>
    </row>
    <row r="253">
      <c r="A253" s="35">
        <v>252.0</v>
      </c>
      <c r="B253" s="35" t="s">
        <v>499</v>
      </c>
      <c r="C253" s="35" t="s">
        <v>713</v>
      </c>
      <c r="D253" s="35" t="s">
        <v>661</v>
      </c>
      <c r="E253" s="35" t="s">
        <v>484</v>
      </c>
    </row>
    <row r="254">
      <c r="A254" s="35">
        <v>253.0</v>
      </c>
      <c r="B254" s="35" t="s">
        <v>499</v>
      </c>
      <c r="C254" s="35" t="s">
        <v>714</v>
      </c>
      <c r="D254" s="35">
        <v>2026.2</v>
      </c>
      <c r="E254" s="35" t="s">
        <v>484</v>
      </c>
    </row>
    <row r="255">
      <c r="A255" s="35">
        <v>254.0</v>
      </c>
      <c r="B255" s="35" t="s">
        <v>499</v>
      </c>
      <c r="C255" s="35" t="s">
        <v>715</v>
      </c>
      <c r="D255" s="35" t="s">
        <v>716</v>
      </c>
      <c r="E255" s="35" t="s">
        <v>484</v>
      </c>
    </row>
    <row r="256">
      <c r="A256" s="35">
        <v>255.0</v>
      </c>
      <c r="B256" s="35" t="s">
        <v>499</v>
      </c>
      <c r="C256" s="35" t="s">
        <v>717</v>
      </c>
      <c r="D256" s="35" t="s">
        <v>718</v>
      </c>
      <c r="E256" s="35" t="s">
        <v>484</v>
      </c>
    </row>
    <row r="257">
      <c r="A257" s="35">
        <v>256.0</v>
      </c>
      <c r="B257" s="35" t="s">
        <v>499</v>
      </c>
      <c r="C257" s="35" t="s">
        <v>719</v>
      </c>
      <c r="D257" s="35" t="s">
        <v>508</v>
      </c>
      <c r="E257" s="35" t="s">
        <v>484</v>
      </c>
    </row>
    <row r="258">
      <c r="A258" s="35">
        <v>257.0</v>
      </c>
      <c r="B258" s="35" t="s">
        <v>499</v>
      </c>
      <c r="C258" s="35" t="s">
        <v>720</v>
      </c>
      <c r="D258" s="35" t="s">
        <v>721</v>
      </c>
      <c r="E258" s="35" t="s">
        <v>484</v>
      </c>
    </row>
    <row r="259">
      <c r="A259" s="35">
        <v>258.0</v>
      </c>
      <c r="B259" s="35" t="s">
        <v>499</v>
      </c>
      <c r="C259" s="35" t="s">
        <v>722</v>
      </c>
      <c r="D259" s="35" t="s">
        <v>322</v>
      </c>
      <c r="E259" s="35" t="s">
        <v>484</v>
      </c>
    </row>
    <row r="260">
      <c r="A260" s="35">
        <v>259.0</v>
      </c>
      <c r="B260" s="35" t="s">
        <v>499</v>
      </c>
      <c r="C260" s="35" t="s">
        <v>723</v>
      </c>
      <c r="D260" s="35" t="s">
        <v>724</v>
      </c>
      <c r="E260" s="35" t="s">
        <v>484</v>
      </c>
    </row>
    <row r="261">
      <c r="A261" s="35">
        <v>260.0</v>
      </c>
      <c r="B261" s="35" t="s">
        <v>499</v>
      </c>
      <c r="C261" s="35" t="s">
        <v>725</v>
      </c>
      <c r="D261" s="35" t="s">
        <v>726</v>
      </c>
      <c r="E261" s="35" t="s">
        <v>484</v>
      </c>
    </row>
    <row r="262">
      <c r="A262" s="35">
        <v>261.0</v>
      </c>
      <c r="B262" s="35" t="s">
        <v>499</v>
      </c>
      <c r="C262" s="35" t="s">
        <v>727</v>
      </c>
      <c r="D262" s="35" t="s">
        <v>728</v>
      </c>
      <c r="E262" s="35" t="s">
        <v>484</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6" t="str">
        <f>'Project Team'!A1</f>
        <v>Last Name</v>
      </c>
      <c r="B1" s="106" t="str">
        <f>'Project Team'!B1</f>
        <v>First Name</v>
      </c>
      <c r="C1" s="107" t="s">
        <v>729</v>
      </c>
      <c r="D1" s="108"/>
      <c r="E1" s="109"/>
      <c r="F1" s="110"/>
      <c r="G1" s="111"/>
      <c r="H1" s="111"/>
    </row>
    <row r="2">
      <c r="A2" s="112" t="str">
        <f>'Project Team'!A2</f>
        <v>Fatima</v>
      </c>
      <c r="B2" s="112" t="str">
        <f>'Project Team'!B2</f>
        <v>Qiblataina</v>
      </c>
      <c r="C2" s="113"/>
      <c r="D2" s="114"/>
      <c r="E2" s="115" t="str">
        <f>average(C2:C10)</f>
        <v>#DIV/0!</v>
      </c>
      <c r="F2" s="116" t="str">
        <f>if(stdev(C2:C7) &gt; 0,"NOK", "OK")</f>
        <v>#DIV/0!</v>
      </c>
      <c r="G2" s="117"/>
      <c r="H2" s="117"/>
    </row>
    <row r="3">
      <c r="A3" s="118" t="str">
        <f>'Project Team'!A3</f>
        <v>Huy</v>
      </c>
      <c r="B3" s="118" t="str">
        <f>'Project Team'!B3</f>
        <v>Christoph</v>
      </c>
      <c r="C3" s="119"/>
      <c r="D3" s="119"/>
      <c r="G3" s="120"/>
      <c r="H3" s="120"/>
    </row>
    <row r="4">
      <c r="A4" s="112" t="str">
        <f>'Project Team'!A4</f>
        <v>Raza</v>
      </c>
      <c r="B4" s="112" t="str">
        <f>'Project Team'!B4</f>
        <v>Asad</v>
      </c>
      <c r="C4" s="113"/>
      <c r="D4" s="114"/>
      <c r="G4" s="117"/>
      <c r="H4" s="117"/>
    </row>
    <row r="5">
      <c r="A5" s="118" t="str">
        <f>'Project Team'!A5</f>
        <v>Jokiel</v>
      </c>
      <c r="B5" s="118" t="str">
        <f>'Project Team'!B5</f>
        <v>Rene</v>
      </c>
      <c r="C5" s="121"/>
      <c r="D5" s="121"/>
      <c r="E5" s="121"/>
      <c r="F5" s="121"/>
      <c r="G5" s="120"/>
      <c r="H5" s="120"/>
    </row>
    <row r="6">
      <c r="A6" s="112" t="str">
        <f>'Project Team'!A6</f>
        <v>Mosler</v>
      </c>
      <c r="B6" s="112" t="str">
        <f>'Project Team'!B6</f>
        <v>Carl</v>
      </c>
      <c r="C6" s="122"/>
      <c r="D6" s="123"/>
      <c r="E6" s="124">
        <v>0.0</v>
      </c>
      <c r="F6" s="125" t="s">
        <v>730</v>
      </c>
      <c r="G6" s="117"/>
      <c r="H6" s="117"/>
    </row>
    <row r="7">
      <c r="A7" s="118" t="str">
        <f>'Project Team'!A7</f>
        <v>Vineesh</v>
      </c>
      <c r="B7" s="118" t="str">
        <f>'Project Team'!B7</f>
        <v>Koppay</v>
      </c>
      <c r="C7" s="113"/>
      <c r="D7" s="121"/>
      <c r="E7" s="124">
        <v>1.0</v>
      </c>
      <c r="F7" s="125" t="s">
        <v>731</v>
      </c>
      <c r="G7" s="120"/>
      <c r="H7" s="120"/>
    </row>
    <row r="8">
      <c r="A8" s="112" t="str">
        <f>'Project Team'!A8</f>
        <v>Moeez</v>
      </c>
      <c r="B8" s="112" t="str">
        <f>'Project Team'!B8</f>
        <v>Abdul</v>
      </c>
      <c r="C8" s="113"/>
      <c r="D8" s="123"/>
      <c r="E8" s="124">
        <v>2.0</v>
      </c>
      <c r="F8" s="125" t="s">
        <v>732</v>
      </c>
      <c r="G8" s="117"/>
      <c r="H8" s="117"/>
    </row>
    <row r="9">
      <c r="A9" s="118" t="str">
        <f>'Project Team'!A9</f>
        <v>Thakur</v>
      </c>
      <c r="B9" s="118" t="str">
        <f>'Project Team'!B9</f>
        <v>Shikhar</v>
      </c>
      <c r="C9" s="113"/>
      <c r="D9" s="121"/>
      <c r="E9" s="124">
        <v>3.0</v>
      </c>
      <c r="F9" s="125" t="s">
        <v>733</v>
      </c>
      <c r="G9" s="120"/>
      <c r="H9" s="120"/>
    </row>
    <row r="10">
      <c r="A10" s="112" t="str">
        <f>'Project Team'!A10</f>
        <v>Dhruvin</v>
      </c>
      <c r="B10" s="112" t="str">
        <f>'Project Team'!B10</f>
        <v>Vekariya</v>
      </c>
      <c r="C10" s="113"/>
      <c r="D10" s="123"/>
      <c r="E10" s="124">
        <v>5.0</v>
      </c>
      <c r="F10" s="125" t="s">
        <v>734</v>
      </c>
      <c r="G10" s="117"/>
      <c r="H10" s="117"/>
    </row>
    <row r="11">
      <c r="A11" s="126" t="s">
        <v>63</v>
      </c>
      <c r="B11" s="126" t="s">
        <v>64</v>
      </c>
      <c r="C11" s="113"/>
      <c r="D11" s="121"/>
      <c r="E11" s="124">
        <v>8.0</v>
      </c>
      <c r="F11" s="125" t="s">
        <v>735</v>
      </c>
      <c r="G11" s="120"/>
      <c r="H11" s="120"/>
    </row>
    <row r="12">
      <c r="A12" s="112"/>
      <c r="B12" s="112"/>
      <c r="C12" s="113"/>
      <c r="D12" s="123"/>
      <c r="E12" s="124">
        <v>13.0</v>
      </c>
      <c r="F12" s="125" t="s">
        <v>736</v>
      </c>
      <c r="G12" s="117"/>
      <c r="H12" s="117"/>
    </row>
    <row r="13">
      <c r="A13" s="118"/>
      <c r="B13" s="118"/>
      <c r="C13" s="121"/>
      <c r="D13" s="121"/>
      <c r="E13" s="121"/>
      <c r="F13" s="121"/>
      <c r="G13" s="120"/>
      <c r="H13" s="120"/>
    </row>
    <row r="14">
      <c r="A14" s="127" t="s">
        <v>737</v>
      </c>
      <c r="B14" s="128"/>
      <c r="C14" s="128"/>
      <c r="D14" s="128"/>
      <c r="E14" s="128"/>
      <c r="F14" s="128"/>
      <c r="G14" s="128"/>
      <c r="H14" s="128"/>
    </row>
    <row r="15">
      <c r="A15" s="129"/>
      <c r="B15" s="129"/>
      <c r="C15" s="129"/>
      <c r="D15" s="129"/>
      <c r="E15" s="129"/>
      <c r="F15" s="129"/>
      <c r="G15" s="129"/>
      <c r="H15" s="129"/>
    </row>
    <row r="16">
      <c r="A16" s="130" t="s">
        <v>738</v>
      </c>
      <c r="B16" s="131"/>
      <c r="C16" s="131"/>
      <c r="D16" s="131"/>
      <c r="E16" s="131"/>
      <c r="F16" s="131"/>
      <c r="G16" s="131"/>
      <c r="H16" s="131"/>
    </row>
    <row r="17">
      <c r="A17" s="132" t="s">
        <v>739</v>
      </c>
      <c r="B17" s="129"/>
      <c r="C17" s="129"/>
      <c r="D17" s="129"/>
      <c r="E17" s="129"/>
      <c r="F17" s="129"/>
      <c r="G17" s="129"/>
      <c r="H17" s="129"/>
    </row>
    <row r="18">
      <c r="A18" s="130" t="s">
        <v>740</v>
      </c>
      <c r="B18" s="131"/>
      <c r="C18" s="131"/>
      <c r="D18" s="131"/>
      <c r="E18" s="131"/>
      <c r="F18" s="131"/>
      <c r="G18" s="131"/>
      <c r="H18" s="131"/>
    </row>
    <row r="19">
      <c r="A19" s="129"/>
      <c r="B19" s="129"/>
      <c r="C19" s="129"/>
      <c r="D19" s="129"/>
      <c r="E19" s="129"/>
      <c r="F19" s="129"/>
      <c r="G19" s="129"/>
      <c r="H19" s="129"/>
    </row>
    <row r="20">
      <c r="A20" s="131"/>
      <c r="B20" s="131"/>
      <c r="C20" s="131"/>
      <c r="D20" s="131"/>
      <c r="E20" s="131"/>
      <c r="F20" s="131"/>
      <c r="G20" s="131"/>
      <c r="H20" s="13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162</v>
      </c>
      <c r="B1" s="4" t="s">
        <v>213</v>
      </c>
      <c r="C1" s="4" t="str">
        <f>"Average Realized (" &amp; ROUND(AVERAGE(B2:B16), 0) &amp; " SP/s)"</f>
        <v>Average Realized (25 SP/s)</v>
      </c>
      <c r="E1" s="35" t="s">
        <v>741</v>
      </c>
      <c r="F1" s="48" t="s">
        <v>174</v>
      </c>
      <c r="G1" s="49" t="s">
        <v>175</v>
      </c>
      <c r="H1" s="50" t="s">
        <v>176</v>
      </c>
      <c r="I1" s="51" t="s">
        <v>177</v>
      </c>
      <c r="J1" s="51" t="s">
        <v>178</v>
      </c>
      <c r="K1" s="51" t="s">
        <v>179</v>
      </c>
      <c r="L1" s="51" t="s">
        <v>180</v>
      </c>
      <c r="M1" s="133" t="s">
        <v>742</v>
      </c>
    </row>
    <row r="2">
      <c r="A2" s="43">
        <v>1.0</v>
      </c>
      <c r="B2" s="43">
        <f>'Velocity Tracking'!B2</f>
        <v>1</v>
      </c>
      <c r="C2" s="134">
        <f t="shared" ref="C2:C14" si="1">AVERAGE($B$2:$B$16)</f>
        <v>24.58333333</v>
      </c>
      <c r="F2" s="52"/>
      <c r="G2" s="53"/>
      <c r="H2" s="54"/>
      <c r="I2" s="54"/>
      <c r="J2" s="54"/>
      <c r="K2" s="54"/>
      <c r="L2" s="54"/>
      <c r="M2" s="135"/>
    </row>
    <row r="3">
      <c r="A3" s="43">
        <f t="shared" ref="A3:A14" si="2">A2+1</f>
        <v>2</v>
      </c>
      <c r="B3" s="43">
        <f>'Velocity Tracking'!B3</f>
        <v>12</v>
      </c>
      <c r="C3" s="134">
        <f t="shared" si="1"/>
        <v>24.58333333</v>
      </c>
      <c r="F3" s="55" t="s">
        <v>181</v>
      </c>
      <c r="G3" s="56"/>
      <c r="H3" s="57"/>
      <c r="I3" s="57"/>
      <c r="J3" s="57"/>
      <c r="K3" s="57"/>
      <c r="L3" s="57"/>
      <c r="M3" s="136"/>
    </row>
    <row r="4">
      <c r="A4" s="43">
        <f t="shared" si="2"/>
        <v>3</v>
      </c>
      <c r="B4" s="43">
        <f>'Velocity Tracking'!B4</f>
        <v>18</v>
      </c>
      <c r="C4" s="134">
        <f t="shared" si="1"/>
        <v>24.58333333</v>
      </c>
      <c r="F4" s="52"/>
      <c r="G4" s="53"/>
      <c r="H4" s="54"/>
      <c r="I4" s="54"/>
      <c r="J4" s="54"/>
      <c r="K4" s="54"/>
      <c r="L4" s="54"/>
      <c r="M4" s="135"/>
    </row>
    <row r="5">
      <c r="A5" s="43">
        <f t="shared" si="2"/>
        <v>4</v>
      </c>
      <c r="B5" s="43">
        <f>'Velocity Tracking'!B5</f>
        <v>36</v>
      </c>
      <c r="C5" s="134">
        <f t="shared" si="1"/>
        <v>24.58333333</v>
      </c>
      <c r="F5" s="58" t="s">
        <v>182</v>
      </c>
      <c r="G5" s="59"/>
      <c r="H5" s="30"/>
      <c r="I5" s="60">
        <f>SUM(I8:I15)</f>
        <v>120</v>
      </c>
      <c r="J5" s="60">
        <f>I5</f>
        <v>120</v>
      </c>
      <c r="K5" s="30"/>
      <c r="L5" s="30"/>
      <c r="M5" s="137">
        <f>I5/6</f>
        <v>20</v>
      </c>
    </row>
    <row r="6">
      <c r="A6" s="43">
        <f t="shared" si="2"/>
        <v>5</v>
      </c>
      <c r="B6" s="43">
        <f>'Velocity Tracking'!B6</f>
        <v>28</v>
      </c>
      <c r="C6" s="134">
        <f t="shared" si="1"/>
        <v>24.58333333</v>
      </c>
      <c r="F6" s="52"/>
      <c r="G6" s="53"/>
      <c r="H6" s="54"/>
      <c r="I6" s="54"/>
      <c r="J6" s="54"/>
      <c r="K6" s="54"/>
      <c r="L6" s="54"/>
      <c r="M6" s="135"/>
    </row>
    <row r="7">
      <c r="A7" s="43">
        <f t="shared" si="2"/>
        <v>6</v>
      </c>
      <c r="B7" s="43">
        <f>'Velocity Tracking'!B7</f>
        <v>21</v>
      </c>
      <c r="C7" s="134">
        <f t="shared" si="1"/>
        <v>24.58333333</v>
      </c>
      <c r="F7" s="61" t="s">
        <v>183</v>
      </c>
      <c r="G7" s="62"/>
      <c r="H7" s="63"/>
      <c r="I7" s="63"/>
      <c r="J7" s="63"/>
      <c r="K7" s="63"/>
      <c r="L7" s="63"/>
      <c r="M7" s="138"/>
    </row>
    <row r="8">
      <c r="A8" s="43">
        <f t="shared" si="2"/>
        <v>7</v>
      </c>
      <c r="B8" s="43">
        <f>'Velocity Tracking'!B8</f>
        <v>30</v>
      </c>
      <c r="C8" s="134">
        <f t="shared" si="1"/>
        <v>24.58333333</v>
      </c>
      <c r="F8" s="64" t="s">
        <v>183</v>
      </c>
      <c r="G8" s="53"/>
      <c r="H8" s="54"/>
      <c r="I8" s="54"/>
      <c r="J8" s="65" t="s">
        <v>178</v>
      </c>
      <c r="K8" s="54"/>
      <c r="L8" s="65" t="s">
        <v>180</v>
      </c>
      <c r="M8" s="139" t="str">
        <f>"Development Speed (≈" &amp; ROUND(M5, 0) &amp; " SP/s)"</f>
        <v>Development Speed (≈20 SP/s)</v>
      </c>
    </row>
    <row r="9">
      <c r="A9" s="43">
        <f t="shared" si="2"/>
        <v>8</v>
      </c>
      <c r="B9" s="43">
        <f>'Velocity Tracking'!B9</f>
        <v>18</v>
      </c>
      <c r="C9" s="134">
        <f t="shared" si="1"/>
        <v>24.58333333</v>
      </c>
      <c r="F9" s="66">
        <v>1.0</v>
      </c>
      <c r="G9" s="58"/>
      <c r="H9" s="30"/>
      <c r="I9" s="60">
        <f>'Mid-Project Release plan'!D9</f>
        <v>1</v>
      </c>
      <c r="J9" s="60">
        <f>'Mid-Project Release plan'!E9</f>
        <v>120</v>
      </c>
      <c r="K9" s="60">
        <f>'Mid-Project Release plan'!F9</f>
        <v>1</v>
      </c>
      <c r="L9" s="60">
        <f>'Mid-Project Release plan'!G9</f>
        <v>120</v>
      </c>
      <c r="M9" s="140">
        <f>$I$5</f>
        <v>120</v>
      </c>
    </row>
    <row r="10">
      <c r="A10" s="43">
        <f t="shared" si="2"/>
        <v>9</v>
      </c>
      <c r="B10" s="43">
        <f>'Velocity Tracking'!B10</f>
        <v>40</v>
      </c>
      <c r="C10" s="134">
        <f t="shared" si="1"/>
        <v>24.58333333</v>
      </c>
      <c r="F10" s="52">
        <f t="shared" ref="F10:F11" si="3">F9+1</f>
        <v>2</v>
      </c>
      <c r="G10" s="53"/>
      <c r="H10" s="54"/>
      <c r="I10" s="60">
        <f>'Mid-Project Release plan'!D10</f>
        <v>16</v>
      </c>
      <c r="J10" s="60">
        <f>'Mid-Project Release plan'!E10</f>
        <v>119</v>
      </c>
      <c r="K10" s="60">
        <f>'Mid-Project Release plan'!F10</f>
        <v>12</v>
      </c>
      <c r="L10" s="60">
        <f>'Mid-Project Release plan'!G10</f>
        <v>119</v>
      </c>
      <c r="M10" s="140">
        <f t="shared" ref="M10:M15" si="4">M9-$M$5</f>
        <v>100</v>
      </c>
    </row>
    <row r="11">
      <c r="A11" s="43">
        <f t="shared" si="2"/>
        <v>10</v>
      </c>
      <c r="B11" s="43">
        <f>'Velocity Tracking'!B11</f>
        <v>33</v>
      </c>
      <c r="C11" s="134">
        <f t="shared" si="1"/>
        <v>24.58333333</v>
      </c>
      <c r="F11" s="66">
        <f t="shared" si="3"/>
        <v>3</v>
      </c>
      <c r="G11" s="58"/>
      <c r="H11" s="30"/>
      <c r="I11" s="60">
        <f>'Mid-Project Release plan'!D11</f>
        <v>19</v>
      </c>
      <c r="J11" s="60">
        <f>'Mid-Project Release plan'!E11</f>
        <v>103</v>
      </c>
      <c r="K11" s="60">
        <f>'Mid-Project Release plan'!F11</f>
        <v>18</v>
      </c>
      <c r="L11" s="60">
        <f>'Mid-Project Release plan'!G11</f>
        <v>107</v>
      </c>
      <c r="M11" s="140">
        <f t="shared" si="4"/>
        <v>80</v>
      </c>
    </row>
    <row r="12">
      <c r="A12" s="43">
        <f t="shared" si="2"/>
        <v>11</v>
      </c>
      <c r="B12" s="43">
        <f>'Velocity Tracking'!B12</f>
        <v>32</v>
      </c>
      <c r="C12" s="134">
        <f t="shared" si="1"/>
        <v>24.58333333</v>
      </c>
      <c r="F12" s="68">
        <v>4.0</v>
      </c>
      <c r="G12" s="69"/>
      <c r="H12" s="54"/>
      <c r="I12" s="60">
        <f>'Mid-Project Release plan'!D12</f>
        <v>30</v>
      </c>
      <c r="J12" s="60">
        <f>'Mid-Project Release plan'!E12</f>
        <v>84</v>
      </c>
      <c r="K12" s="60">
        <f>'Mid-Project Release plan'!F12</f>
        <v>36</v>
      </c>
      <c r="L12" s="60">
        <f>'Mid-Project Release plan'!G12</f>
        <v>89</v>
      </c>
      <c r="M12" s="140">
        <f t="shared" si="4"/>
        <v>60</v>
      </c>
    </row>
    <row r="13">
      <c r="A13" s="43">
        <f t="shared" si="2"/>
        <v>12</v>
      </c>
      <c r="B13" s="43">
        <f>'Velocity Tracking'!B13</f>
        <v>26</v>
      </c>
      <c r="C13" s="134">
        <f t="shared" si="1"/>
        <v>24.58333333</v>
      </c>
      <c r="F13" s="70">
        <v>5.0</v>
      </c>
      <c r="G13" s="58"/>
      <c r="H13" s="30"/>
      <c r="I13" s="60">
        <f>'Mid-Project Release plan'!D13</f>
        <v>29</v>
      </c>
      <c r="J13" s="60">
        <f>'Mid-Project Release plan'!E13</f>
        <v>54</v>
      </c>
      <c r="K13" s="60">
        <f>'Mid-Project Release plan'!F13</f>
        <v>28</v>
      </c>
      <c r="L13" s="60">
        <f>'Mid-Project Release plan'!G13</f>
        <v>53</v>
      </c>
      <c r="M13" s="140">
        <f t="shared" si="4"/>
        <v>40</v>
      </c>
    </row>
    <row r="14">
      <c r="A14" s="43">
        <f t="shared" si="2"/>
        <v>13</v>
      </c>
      <c r="B14" s="43" t="str">
        <f>'Velocity Tracking'!B14</f>
        <v/>
      </c>
      <c r="C14" s="134">
        <f t="shared" si="1"/>
        <v>24.58333333</v>
      </c>
      <c r="F14" s="71">
        <v>6.0</v>
      </c>
      <c r="I14" s="60">
        <f>'Mid-Project Release plan'!D14</f>
        <v>25</v>
      </c>
      <c r="J14" s="60">
        <f>'Mid-Project Release plan'!E14</f>
        <v>25</v>
      </c>
      <c r="K14" s="60">
        <f>'Mid-Project Release plan'!F14</f>
        <v>21</v>
      </c>
      <c r="L14" s="60">
        <f>'Mid-Project Release plan'!G14</f>
        <v>25</v>
      </c>
      <c r="M14" s="140">
        <f t="shared" si="4"/>
        <v>20</v>
      </c>
    </row>
    <row r="15">
      <c r="A15" s="43"/>
      <c r="B15" s="43"/>
      <c r="C15" s="134"/>
      <c r="F15" s="43"/>
      <c r="G15" s="3"/>
      <c r="H15" s="3"/>
      <c r="I15" s="60" t="str">
        <f>'Mid-Project Release plan'!D15</f>
        <v/>
      </c>
      <c r="J15" s="60" t="str">
        <f>'Mid-Project Release plan'!E15</f>
        <v/>
      </c>
      <c r="K15" s="60" t="str">
        <f>'Mid-Project Release plan'!F15</f>
        <v/>
      </c>
      <c r="L15" s="60" t="str">
        <f>'Mid-Project Release plan'!G15</f>
        <v/>
      </c>
      <c r="M15" s="140">
        <f t="shared" si="4"/>
        <v>0</v>
      </c>
    </row>
    <row r="16">
      <c r="A16" s="43"/>
      <c r="B16" s="43"/>
      <c r="C16" s="134"/>
    </row>
    <row r="18">
      <c r="E18" s="35" t="s">
        <v>743</v>
      </c>
      <c r="F18" s="48" t="s">
        <v>174</v>
      </c>
      <c r="G18" s="91" t="s">
        <v>175</v>
      </c>
      <c r="H18" s="50" t="s">
        <v>176</v>
      </c>
      <c r="I18" s="51" t="s">
        <v>177</v>
      </c>
      <c r="J18" s="51" t="s">
        <v>178</v>
      </c>
      <c r="K18" s="51" t="s">
        <v>179</v>
      </c>
      <c r="L18" s="51" t="s">
        <v>180</v>
      </c>
      <c r="M18" s="133" t="s">
        <v>742</v>
      </c>
    </row>
    <row r="19">
      <c r="F19" s="52"/>
      <c r="G19" s="54"/>
      <c r="H19" s="54"/>
      <c r="I19" s="54"/>
      <c r="J19" s="54"/>
      <c r="K19" s="54"/>
      <c r="L19" s="54"/>
      <c r="M19" s="135"/>
    </row>
    <row r="20">
      <c r="F20" s="55" t="s">
        <v>181</v>
      </c>
      <c r="G20" s="57"/>
      <c r="H20" s="57"/>
      <c r="I20" s="57"/>
      <c r="J20" s="57"/>
      <c r="K20" s="57"/>
      <c r="L20" s="57"/>
      <c r="M20" s="136"/>
    </row>
    <row r="21">
      <c r="F21" s="52"/>
      <c r="G21" s="54"/>
      <c r="H21" s="54"/>
      <c r="I21" s="54"/>
      <c r="J21" s="54"/>
      <c r="K21" s="54"/>
      <c r="L21" s="54"/>
      <c r="M21" s="135"/>
    </row>
    <row r="22">
      <c r="F22" s="58" t="s">
        <v>182</v>
      </c>
      <c r="G22" s="30"/>
      <c r="H22" s="30"/>
      <c r="I22" s="60">
        <f>sum(I25:I32)</f>
        <v>227</v>
      </c>
      <c r="J22" s="60">
        <f>I22</f>
        <v>227</v>
      </c>
      <c r="K22" s="30"/>
      <c r="L22" s="30"/>
      <c r="M22" s="137">
        <f>I22/7</f>
        <v>32.42857143</v>
      </c>
    </row>
    <row r="23">
      <c r="F23" s="52"/>
      <c r="G23" s="54"/>
      <c r="H23" s="54"/>
      <c r="I23" s="54"/>
      <c r="J23" s="54"/>
      <c r="K23" s="54"/>
      <c r="L23" s="54"/>
      <c r="M23" s="135"/>
    </row>
    <row r="24">
      <c r="F24" s="61" t="s">
        <v>183</v>
      </c>
      <c r="G24" s="92"/>
      <c r="H24" s="63"/>
      <c r="I24" s="63"/>
      <c r="J24" s="63"/>
      <c r="K24" s="63"/>
      <c r="L24" s="63"/>
      <c r="M24" s="138"/>
    </row>
    <row r="25">
      <c r="F25" s="52"/>
      <c r="G25" s="54"/>
      <c r="H25" s="54"/>
      <c r="I25" s="54"/>
      <c r="J25" s="93" t="s">
        <v>178</v>
      </c>
      <c r="L25" s="93" t="s">
        <v>180</v>
      </c>
      <c r="M25" s="139" t="str">
        <f>"Development Speed (≈" &amp; ROUND(M22, 0) &amp; " SP/s)"</f>
        <v>Development Speed (≈32 SP/s)</v>
      </c>
    </row>
    <row r="26">
      <c r="F26" s="70">
        <v>7.0</v>
      </c>
      <c r="G26" s="30"/>
      <c r="H26" s="30"/>
      <c r="I26" s="60">
        <f>'Final Project Release plan'!D9</f>
        <v>30</v>
      </c>
      <c r="J26" s="60">
        <f>'Final Project Release plan'!E9</f>
        <v>227</v>
      </c>
      <c r="K26" s="60">
        <f>'Final Project Release plan'!F9</f>
        <v>30</v>
      </c>
      <c r="L26" s="60">
        <f>'Final Project Release plan'!G9</f>
        <v>227</v>
      </c>
      <c r="M26" s="140">
        <f>$I$22</f>
        <v>227</v>
      </c>
    </row>
    <row r="27">
      <c r="F27" s="52">
        <f t="shared" ref="F27:F28" si="5">F26+1</f>
        <v>8</v>
      </c>
      <c r="G27" s="54"/>
      <c r="H27" s="54"/>
      <c r="I27" s="60">
        <f>'Final Project Release plan'!D10</f>
        <v>24</v>
      </c>
      <c r="J27" s="60">
        <f>'Final Project Release plan'!E10</f>
        <v>197</v>
      </c>
      <c r="K27" s="60">
        <f>'Final Project Release plan'!F10</f>
        <v>18</v>
      </c>
      <c r="L27" s="60">
        <f>'Final Project Release plan'!G10</f>
        <v>197</v>
      </c>
      <c r="M27" s="141">
        <f t="shared" ref="M27:M32" si="6">M26-$M$22</f>
        <v>194.5714286</v>
      </c>
    </row>
    <row r="28">
      <c r="F28" s="66">
        <f t="shared" si="5"/>
        <v>9</v>
      </c>
      <c r="G28" s="30"/>
      <c r="H28" s="30"/>
      <c r="I28" s="60">
        <f>'Final Project Release plan'!D11</f>
        <v>29</v>
      </c>
      <c r="J28" s="60">
        <f>'Final Project Release plan'!E11</f>
        <v>173</v>
      </c>
      <c r="K28" s="60">
        <f>'Final Project Release plan'!F11</f>
        <v>40</v>
      </c>
      <c r="L28" s="60">
        <f>'Final Project Release plan'!G11</f>
        <v>179</v>
      </c>
      <c r="M28" s="141">
        <f t="shared" si="6"/>
        <v>162.1428571</v>
      </c>
    </row>
    <row r="29">
      <c r="F29" s="68">
        <v>10.0</v>
      </c>
      <c r="G29" s="54"/>
      <c r="H29" s="54"/>
      <c r="I29" s="60">
        <f>'Final Project Release plan'!D12</f>
        <v>31</v>
      </c>
      <c r="J29" s="60">
        <f>'Final Project Release plan'!E12</f>
        <v>144</v>
      </c>
      <c r="K29" s="60">
        <f>'Final Project Release plan'!F12</f>
        <v>33</v>
      </c>
      <c r="L29" s="60">
        <f>'Final Project Release plan'!G12</f>
        <v>139</v>
      </c>
      <c r="M29" s="141">
        <f t="shared" si="6"/>
        <v>129.7142857</v>
      </c>
    </row>
    <row r="30">
      <c r="F30" s="66">
        <v>11.0</v>
      </c>
      <c r="G30" s="30"/>
      <c r="H30" s="30"/>
      <c r="I30" s="60">
        <f>'Final Project Release plan'!D13</f>
        <v>32</v>
      </c>
      <c r="J30" s="60">
        <f>'Final Project Release plan'!E13</f>
        <v>113</v>
      </c>
      <c r="K30" s="60">
        <f>'Final Project Release plan'!F13</f>
        <v>32</v>
      </c>
      <c r="L30" s="60">
        <f>'Final Project Release plan'!G13</f>
        <v>106</v>
      </c>
      <c r="M30" s="141">
        <f t="shared" si="6"/>
        <v>97.28571429</v>
      </c>
    </row>
    <row r="31">
      <c r="F31" s="68">
        <v>12.0</v>
      </c>
      <c r="G31" s="54"/>
      <c r="H31" s="54"/>
      <c r="I31" s="60">
        <f>'Final Project Release plan'!D14</f>
        <v>36</v>
      </c>
      <c r="J31" s="60">
        <f>'Final Project Release plan'!E14</f>
        <v>81</v>
      </c>
      <c r="K31" s="60">
        <f>'Final Project Release plan'!F14</f>
        <v>26</v>
      </c>
      <c r="L31" s="60">
        <f>'Final Project Release plan'!G14</f>
        <v>74</v>
      </c>
      <c r="M31" s="141">
        <f t="shared" si="6"/>
        <v>64.85714286</v>
      </c>
    </row>
    <row r="32">
      <c r="F32" s="66">
        <v>13.0</v>
      </c>
      <c r="G32" s="30"/>
      <c r="H32" s="30"/>
      <c r="I32" s="60">
        <f>'Final Project Release plan'!D15</f>
        <v>45</v>
      </c>
      <c r="J32" s="60">
        <f>'Final Project Release plan'!E15</f>
        <v>45</v>
      </c>
      <c r="K32" s="60">
        <f>'Final Project Release plan'!F15</f>
        <v>0</v>
      </c>
      <c r="L32" s="60">
        <f>'Final Project Release plan'!G15</f>
        <v>48</v>
      </c>
      <c r="M32" s="141">
        <f t="shared" si="6"/>
        <v>32.42857143</v>
      </c>
    </row>
    <row r="33">
      <c r="F33" s="68"/>
      <c r="G33" s="54"/>
      <c r="H33" s="54"/>
      <c r="L33" s="67"/>
      <c r="M33" s="141"/>
    </row>
  </sheetData>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295</v>
      </c>
      <c r="C1" s="4" t="s">
        <v>296</v>
      </c>
      <c r="D1" s="4" t="s">
        <v>297</v>
      </c>
      <c r="E1" s="4" t="s">
        <v>298</v>
      </c>
      <c r="F1" s="4" t="s">
        <v>76</v>
      </c>
    </row>
    <row r="2">
      <c r="A2" s="2">
        <v>1.0</v>
      </c>
      <c r="B2" s="2" t="s">
        <v>499</v>
      </c>
      <c r="C2" s="2" t="s">
        <v>542</v>
      </c>
      <c r="D2" s="2" t="s">
        <v>744</v>
      </c>
      <c r="E2" s="2" t="s">
        <v>306</v>
      </c>
      <c r="F2" s="2" t="s">
        <v>745</v>
      </c>
    </row>
    <row r="3">
      <c r="A3" s="2">
        <v>2.0</v>
      </c>
      <c r="B3" s="2" t="s">
        <v>499</v>
      </c>
      <c r="C3" s="2" t="s">
        <v>717</v>
      </c>
      <c r="D3" s="2" t="s">
        <v>746</v>
      </c>
      <c r="E3" s="2" t="s">
        <v>747</v>
      </c>
      <c r="F3" s="35" t="s">
        <v>748</v>
      </c>
    </row>
    <row r="4">
      <c r="A4" s="2">
        <v>3.0</v>
      </c>
      <c r="B4" s="2" t="s">
        <v>499</v>
      </c>
      <c r="C4" s="2" t="s">
        <v>663</v>
      </c>
      <c r="D4" s="2" t="s">
        <v>749</v>
      </c>
      <c r="E4" s="2" t="s">
        <v>306</v>
      </c>
      <c r="F4" s="2" t="s">
        <v>750</v>
      </c>
    </row>
    <row r="5">
      <c r="A5" s="2">
        <v>4.0</v>
      </c>
      <c r="B5" s="2" t="s">
        <v>499</v>
      </c>
      <c r="C5" s="2" t="s">
        <v>667</v>
      </c>
      <c r="D5" s="2" t="s">
        <v>751</v>
      </c>
      <c r="E5" s="2" t="s">
        <v>306</v>
      </c>
      <c r="F5" s="35" t="s">
        <v>752</v>
      </c>
    </row>
    <row r="6">
      <c r="A6" s="2">
        <v>5.0</v>
      </c>
      <c r="B6" s="2" t="s">
        <v>499</v>
      </c>
      <c r="C6" s="2" t="s">
        <v>678</v>
      </c>
      <c r="D6" s="2" t="s">
        <v>753</v>
      </c>
      <c r="E6" s="2" t="s">
        <v>747</v>
      </c>
      <c r="F6" s="35" t="s">
        <v>754</v>
      </c>
    </row>
    <row r="7">
      <c r="A7" s="2">
        <v>6.0</v>
      </c>
      <c r="B7" s="2" t="s">
        <v>499</v>
      </c>
      <c r="C7" s="2" t="s">
        <v>591</v>
      </c>
      <c r="D7" s="2" t="s">
        <v>755</v>
      </c>
      <c r="E7" s="2" t="s">
        <v>316</v>
      </c>
      <c r="F7" s="35" t="s">
        <v>756</v>
      </c>
    </row>
    <row r="8">
      <c r="A8" s="2">
        <v>7.0</v>
      </c>
      <c r="B8" s="2" t="s">
        <v>499</v>
      </c>
      <c r="C8" s="2" t="s">
        <v>697</v>
      </c>
      <c r="D8" s="2" t="s">
        <v>757</v>
      </c>
      <c r="E8" s="2" t="s">
        <v>306</v>
      </c>
      <c r="F8" s="35" t="s">
        <v>758</v>
      </c>
    </row>
    <row r="9">
      <c r="A9" s="2">
        <v>8.0</v>
      </c>
      <c r="B9" s="2" t="s">
        <v>499</v>
      </c>
      <c r="C9" s="2" t="s">
        <v>509</v>
      </c>
      <c r="D9" s="2" t="s">
        <v>759</v>
      </c>
      <c r="E9" s="2" t="s">
        <v>306</v>
      </c>
      <c r="F9" s="35" t="s">
        <v>760</v>
      </c>
    </row>
    <row r="10">
      <c r="A10" s="2">
        <v>9.0</v>
      </c>
      <c r="B10" s="2" t="s">
        <v>499</v>
      </c>
      <c r="C10" s="2" t="s">
        <v>655</v>
      </c>
      <c r="D10" s="2" t="s">
        <v>761</v>
      </c>
      <c r="E10" s="35" t="s">
        <v>762</v>
      </c>
      <c r="F10" s="35" t="s">
        <v>763</v>
      </c>
    </row>
    <row r="11">
      <c r="A11" s="2">
        <v>10.0</v>
      </c>
      <c r="B11" s="2" t="s">
        <v>499</v>
      </c>
      <c r="C11" s="35" t="s">
        <v>701</v>
      </c>
      <c r="D11" s="2" t="s">
        <v>764</v>
      </c>
      <c r="E11" s="2" t="s">
        <v>306</v>
      </c>
      <c r="F11" s="35" t="s">
        <v>765</v>
      </c>
    </row>
    <row r="12">
      <c r="A12" s="2">
        <v>11.0</v>
      </c>
      <c r="B12" s="2" t="s">
        <v>499</v>
      </c>
      <c r="C12" s="142" t="s">
        <v>645</v>
      </c>
      <c r="D12" s="142" t="s">
        <v>766</v>
      </c>
      <c r="E12" s="142" t="s">
        <v>453</v>
      </c>
      <c r="F12" s="142" t="s">
        <v>767</v>
      </c>
    </row>
    <row r="13">
      <c r="A13" s="2">
        <v>12.0</v>
      </c>
      <c r="B13" s="2" t="s">
        <v>499</v>
      </c>
      <c r="C13" s="142" t="s">
        <v>768</v>
      </c>
      <c r="D13" s="142" t="s">
        <v>769</v>
      </c>
      <c r="E13" s="2" t="s">
        <v>316</v>
      </c>
      <c r="F13" s="142" t="s">
        <v>770</v>
      </c>
    </row>
    <row r="14">
      <c r="A14" s="2">
        <v>13.0</v>
      </c>
      <c r="B14" s="2" t="s">
        <v>499</v>
      </c>
      <c r="C14" s="142" t="s">
        <v>625</v>
      </c>
      <c r="D14" s="142" t="s">
        <v>771</v>
      </c>
      <c r="E14" s="2" t="s">
        <v>316</v>
      </c>
      <c r="F14" s="142" t="s">
        <v>772</v>
      </c>
    </row>
    <row r="15">
      <c r="A15" s="2">
        <v>14.0</v>
      </c>
      <c r="B15" s="2" t="s">
        <v>499</v>
      </c>
      <c r="C15" s="142" t="s">
        <v>632</v>
      </c>
      <c r="D15" s="142" t="s">
        <v>771</v>
      </c>
      <c r="E15" s="2" t="s">
        <v>316</v>
      </c>
      <c r="F15" s="142" t="s">
        <v>773</v>
      </c>
    </row>
    <row r="16">
      <c r="A16" s="2">
        <v>15.0</v>
      </c>
      <c r="B16" s="2" t="s">
        <v>499</v>
      </c>
      <c r="C16" s="2" t="s">
        <v>572</v>
      </c>
      <c r="D16" s="2" t="s">
        <v>774</v>
      </c>
      <c r="E16" s="2" t="s">
        <v>747</v>
      </c>
      <c r="F16" s="35" t="s">
        <v>775</v>
      </c>
    </row>
    <row r="17">
      <c r="A17" s="2">
        <v>16.0</v>
      </c>
      <c r="B17" s="2" t="s">
        <v>300</v>
      </c>
      <c r="C17" s="2" t="s">
        <v>458</v>
      </c>
      <c r="D17" s="2" t="s">
        <v>776</v>
      </c>
      <c r="E17" s="2" t="s">
        <v>306</v>
      </c>
      <c r="F17" s="35" t="s">
        <v>777</v>
      </c>
    </row>
    <row r="18">
      <c r="A18" s="2">
        <v>17.0</v>
      </c>
      <c r="B18" s="2" t="s">
        <v>300</v>
      </c>
      <c r="C18" s="2" t="s">
        <v>460</v>
      </c>
      <c r="D18" s="2" t="s">
        <v>776</v>
      </c>
      <c r="E18" s="35" t="s">
        <v>306</v>
      </c>
      <c r="F18" s="35" t="s">
        <v>778</v>
      </c>
    </row>
    <row r="19">
      <c r="A19" s="2">
        <v>18.0</v>
      </c>
      <c r="B19" s="2" t="s">
        <v>300</v>
      </c>
      <c r="C19" s="2" t="s">
        <v>444</v>
      </c>
      <c r="D19" s="2" t="s">
        <v>779</v>
      </c>
      <c r="E19" s="35" t="s">
        <v>316</v>
      </c>
      <c r="F19" s="35" t="s">
        <v>780</v>
      </c>
    </row>
    <row r="20">
      <c r="A20" s="2">
        <v>19.0</v>
      </c>
      <c r="B20" s="2" t="s">
        <v>300</v>
      </c>
      <c r="C20" s="2" t="s">
        <v>317</v>
      </c>
      <c r="D20" s="35" t="s">
        <v>751</v>
      </c>
      <c r="E20" s="35" t="s">
        <v>316</v>
      </c>
      <c r="F20" s="35" t="s">
        <v>781</v>
      </c>
    </row>
    <row r="21">
      <c r="A21" s="2">
        <v>20.0</v>
      </c>
      <c r="B21" s="2" t="s">
        <v>300</v>
      </c>
      <c r="C21" s="2" t="s">
        <v>319</v>
      </c>
      <c r="D21" s="2" t="s">
        <v>782</v>
      </c>
      <c r="E21" s="35" t="s">
        <v>316</v>
      </c>
      <c r="F21" s="35" t="s">
        <v>783</v>
      </c>
    </row>
    <row r="22">
      <c r="A22" s="2">
        <v>21.0</v>
      </c>
      <c r="B22" s="35" t="s">
        <v>300</v>
      </c>
      <c r="C22" s="35" t="s">
        <v>467</v>
      </c>
      <c r="D22" s="35" t="s">
        <v>784</v>
      </c>
      <c r="E22" s="35" t="s">
        <v>306</v>
      </c>
      <c r="F22" s="35" t="s">
        <v>785</v>
      </c>
    </row>
    <row r="23">
      <c r="A23" s="2">
        <v>22.0</v>
      </c>
      <c r="B23" s="2" t="s">
        <v>300</v>
      </c>
      <c r="C23" s="35" t="s">
        <v>479</v>
      </c>
      <c r="D23" s="35" t="s">
        <v>786</v>
      </c>
      <c r="E23" s="35" t="s">
        <v>306</v>
      </c>
      <c r="F23" s="35" t="s">
        <v>787</v>
      </c>
    </row>
    <row r="24">
      <c r="A24" s="2">
        <v>23.0</v>
      </c>
      <c r="B24" s="2" t="s">
        <v>300</v>
      </c>
      <c r="C24" s="35" t="s">
        <v>454</v>
      </c>
      <c r="D24" s="35" t="s">
        <v>788</v>
      </c>
      <c r="E24" s="35" t="s">
        <v>306</v>
      </c>
      <c r="F24" s="35" t="s">
        <v>789</v>
      </c>
    </row>
    <row r="25">
      <c r="A25" s="2">
        <v>24.0</v>
      </c>
      <c r="B25" s="2" t="s">
        <v>300</v>
      </c>
      <c r="C25" s="35" t="s">
        <v>395</v>
      </c>
      <c r="D25" s="35" t="s">
        <v>782</v>
      </c>
      <c r="E25" s="35" t="s">
        <v>306</v>
      </c>
      <c r="F25" s="35" t="s">
        <v>790</v>
      </c>
    </row>
    <row r="26">
      <c r="A26" s="2">
        <v>25.0</v>
      </c>
      <c r="B26" s="2" t="s">
        <v>300</v>
      </c>
      <c r="C26" s="35" t="s">
        <v>429</v>
      </c>
      <c r="D26" s="35" t="s">
        <v>791</v>
      </c>
      <c r="E26" s="35" t="s">
        <v>316</v>
      </c>
      <c r="F26" s="35" t="s">
        <v>792</v>
      </c>
    </row>
    <row r="27">
      <c r="A27" s="2">
        <v>26.0</v>
      </c>
      <c r="B27" s="2" t="s">
        <v>300</v>
      </c>
      <c r="C27" s="35" t="s">
        <v>431</v>
      </c>
      <c r="D27" s="35" t="s">
        <v>793</v>
      </c>
      <c r="E27" s="35" t="s">
        <v>306</v>
      </c>
      <c r="F27" s="35" t="s">
        <v>794</v>
      </c>
    </row>
    <row r="28">
      <c r="A28" s="2">
        <v>27.0</v>
      </c>
      <c r="B28" s="2" t="s">
        <v>300</v>
      </c>
      <c r="C28" s="35" t="s">
        <v>451</v>
      </c>
      <c r="D28" s="35" t="s">
        <v>795</v>
      </c>
      <c r="E28" s="35" t="s">
        <v>453</v>
      </c>
      <c r="F28" s="35" t="s">
        <v>796</v>
      </c>
    </row>
    <row r="29">
      <c r="A29" s="2">
        <v>28.0</v>
      </c>
      <c r="B29" s="2" t="s">
        <v>300</v>
      </c>
      <c r="C29" s="35" t="s">
        <v>456</v>
      </c>
      <c r="D29" s="35" t="s">
        <v>797</v>
      </c>
      <c r="E29" s="35" t="s">
        <v>306</v>
      </c>
      <c r="F29" s="35" t="s">
        <v>798</v>
      </c>
    </row>
    <row r="30">
      <c r="A30" s="2">
        <v>29.0</v>
      </c>
      <c r="B30" s="2" t="s">
        <v>300</v>
      </c>
      <c r="C30" s="35" t="s">
        <v>481</v>
      </c>
      <c r="D30" s="35" t="s">
        <v>779</v>
      </c>
      <c r="E30" s="35" t="s">
        <v>306</v>
      </c>
      <c r="F30" s="35" t="s">
        <v>799</v>
      </c>
    </row>
    <row r="31">
      <c r="A31" s="2">
        <v>30.0</v>
      </c>
      <c r="B31" s="35" t="s">
        <v>499</v>
      </c>
      <c r="C31" s="35" t="s">
        <v>507</v>
      </c>
      <c r="D31" s="35" t="s">
        <v>800</v>
      </c>
      <c r="E31" s="35" t="s">
        <v>306</v>
      </c>
      <c r="F31" s="35" t="s">
        <v>801</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