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Mid-Project Release plan" sheetId="8" r:id="rId11"/>
    <sheet state="visible" name="Velocity Tracking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<sst xmlns="http://schemas.openxmlformats.org/spreadsheetml/2006/main" count="253" uniqueCount="163">
  <si>
    <t>Project Name</t>
  </si>
  <si>
    <t>TaskOrbit Conversational Agent</t>
  </si>
  <si>
    <t>Online team meeting</t>
  </si>
  <si>
    <t>https://fau.zoom-x.de/j/65288966243?pwd=DnF4jxSAfJugyMmynzjE1BaaFprRbi.1</t>
  </si>
  <si>
    <t>Production system (if any)</t>
  </si>
  <si>
    <t>TBD (Industry Partner Meeting on Monday)</t>
  </si>
  <si>
    <t>Test system (if any)</t>
  </si>
  <si>
    <t>GitHub repository</t>
  </si>
  <si>
    <t>https://github.com/amosproj/amos2026ss04-taskorbit-conversational-agent</t>
  </si>
  <si>
    <t>GitHub feature board</t>
  </si>
  <si>
    <t>https://github.com/orgs/amosproj/projects/100/views/2</t>
  </si>
  <si>
    <t>GitHub imp-squared backlog</t>
  </si>
  <si>
    <t>https://github.com/orgs/amosproj/projects/104/views/1</t>
  </si>
  <si>
    <t>Position of T-shirt logo</t>
  </si>
  <si>
    <t>Upper Torso Center Large</t>
  </si>
  <si>
    <t>Link to logo for black T-shirt</t>
  </si>
  <si>
    <t>https://github.com/amosproj/amos2026ss04-taskorbit-conversational-agent/blob/feature/team-logo-design/Deliverables/sprint-01/team-logo.png</t>
  </si>
  <si>
    <t>Link to logo for white T-shirt</t>
  </si>
  <si>
    <t>Additional materials</t>
  </si>
  <si>
    <t>https://discord.gg/usXpc5ab</t>
  </si>
  <si>
    <t>Team maling list</t>
  </si>
  <si>
    <t>oss-amos-proj4@lists.fau.de</t>
  </si>
  <si>
    <t>Last Name</t>
  </si>
  <si>
    <t>First Name</t>
  </si>
  <si>
    <t>GitHub User Name</t>
  </si>
  <si>
    <t>Email Address</t>
  </si>
  <si>
    <t>Fatima</t>
  </si>
  <si>
    <t>Qiblatain</t>
  </si>
  <si>
    <t>qiblatainf</t>
  </si>
  <si>
    <t>qiblatain.fatima@fau.de</t>
  </si>
  <si>
    <t>Huy</t>
  </si>
  <si>
    <t>Christoph</t>
  </si>
  <si>
    <t>Perimora</t>
  </si>
  <si>
    <t>christoph.huy@campus.tu-berlin.de</t>
  </si>
  <si>
    <t>Raza</t>
  </si>
  <si>
    <t>Asad</t>
  </si>
  <si>
    <t>asadraza17</t>
  </si>
  <si>
    <t>asad.raza@fau.de</t>
  </si>
  <si>
    <t>Jokiel</t>
  </si>
  <si>
    <t>Rene</t>
  </si>
  <si>
    <t>BelmontR</t>
  </si>
  <si>
    <t>rene.jokiel@fau.de</t>
  </si>
  <si>
    <t>Mosler</t>
  </si>
  <si>
    <t>Carl</t>
  </si>
  <si>
    <t>Caerum5</t>
  </si>
  <si>
    <t>carl.mosler@tu-berlin.de</t>
  </si>
  <si>
    <t>Vineesh</t>
  </si>
  <si>
    <t>Koppay</t>
  </si>
  <si>
    <t>K-Vineesh</t>
  </si>
  <si>
    <t>vineesh.koppay@fau.de</t>
  </si>
  <si>
    <t>Moeez</t>
  </si>
  <si>
    <t>Abdul</t>
  </si>
  <si>
    <t>abdulmoeez1225</t>
  </si>
  <si>
    <t>abdul.moeez@fau.de</t>
  </si>
  <si>
    <t>Thakur</t>
  </si>
  <si>
    <t>Shikhar</t>
  </si>
  <si>
    <t>shikharthakur2404`</t>
  </si>
  <si>
    <t>shikhar.thakur@fau.de</t>
  </si>
  <si>
    <t>Dhruvin</t>
  </si>
  <si>
    <t>Vekariya</t>
  </si>
  <si>
    <t>djv03</t>
  </si>
  <si>
    <t>dhruvin.vekariya@fau.de</t>
  </si>
  <si>
    <t>Shameti</t>
  </si>
  <si>
    <t>Endri</t>
  </si>
  <si>
    <t>1Endri</t>
  </si>
  <si>
    <t>endri.shameti@fau.de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</si>
  <si>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</si>
  <si>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</si>
  <si>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</si>
  <si>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</si>
  <si>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</si>
  <si>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</si>
  <si>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</si>
  <si>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</si>
  <si>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</si>
  <si>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</si>
  <si>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</si>
  <si>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Endri Shameti</t>
  </si>
  <si>
    <t>Vineesh Koppay</t>
  </si>
  <si>
    <t>Abdul Moeez</t>
  </si>
  <si>
    <t>Asad Raza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</si>
  <si>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</si>
  <si>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</si>
  <si>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</si>
  <si>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</si>
  <si>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</si>
  <si>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 xml:space="preserve"> Create a flawless and valuable project that the industry partner will be able to use. Create clean and reusable code and structures</t>
  </si>
  <si>
    <t>Meeting norms</t>
  </si>
  <si>
    <t>- be on time -cams on -reach out if you are not gonna make it</t>
  </si>
  <si>
    <t>- We'll respect each other's opinions and try to communicate as much as possible</t>
  </si>
  <si>
    <t>Working norms</t>
  </si>
  <si>
    <t>- Document and comment your code - We'll use branches in a sensefull way and not work directly on the main branch - Transparency - Clear commit messages - We test our code - We write clean code</t>
  </si>
  <si>
    <t>Coordination norms</t>
  </si>
  <si>
    <t>- We'll update the feature board in time - If there are multiple devs working on one item, they will communicate and coordinate and not work independently - We balance the workload among the team</t>
  </si>
  <si>
    <t>Communication norms</t>
  </si>
  <si>
    <t>- We talk about issues and problems when we face them - Transparent communication - Daily check the corresponding channels</t>
  </si>
  <si>
    <t>Consideration norms</t>
  </si>
  <si>
    <t>- We support each other when ever needed - We talk about issues openly - If we can't reach a consensus, we'll vote - We don't take critique personally</t>
  </si>
  <si>
    <t>Cont. improvement norms</t>
  </si>
  <si>
    <t>- We'll be open to learn and teach - We encourage critique and improvements efforts</t>
  </si>
  <si>
    <t>Rewards</t>
  </si>
  <si>
    <t>- We celebrate milestones with pizza - Very helpful team members get an extra slice of pizza</t>
  </si>
  <si>
    <t>Sanctions</t>
  </si>
  <si>
    <t>- Sit ups (at least 10, more if needed)</t>
  </si>
  <si>
    <t>Signatures</t>
  </si>
  <si>
    <t>Rene Jokiel</t>
  </si>
  <si>
    <t>Product owner</t>
  </si>
  <si>
    <t>Christoph Huy</t>
  </si>
  <si>
    <t>Carl Mosler</t>
  </si>
  <si>
    <t>Software developer</t>
  </si>
  <si>
    <t>Dhruvin Vekariya</t>
  </si>
  <si>
    <t>Qiblatain Fatima</t>
  </si>
  <si>
    <t>Shikhar Thakur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</si>
  <si>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</si>
  <si>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</si>
  <si>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</si>
  <si>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</si>
  <si>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</si>
  <si>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</si>
  <si>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</si>
  <si>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</si>
  <si>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</si>
  <si>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</si>
  <si>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</si>
  <si>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</si>
  <si>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</si>
  <si>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</si>
  <si>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</si>
  <si>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</si>
  <si>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</si>
  <si>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</si>
  <si>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</si>
  <si>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</si>
  <si>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</si>
  <si>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</si>
  <si>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</si>
  <si>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...</t>
  </si>
  <si>
    <t>Features</t>
  </si>
  <si>
    <t>PLEASE CREATE THE BURNDOWN CHART ON A NEW TAB USING THE DATA FROM THIS TAB</t>
  </si>
  <si>
    <t>Story Points Realized</t>
  </si>
  <si>
    <t>PLEASE CREATE THE VELOCITY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</si>
  <si>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</si>
  <si>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</si>
  <si>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</si>
  <si>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</si>
  <si>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</si>
  <si>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Team Logo (SVG + PNG)</t>
  </si>
  <si>
    <t>Context</t>
  </si>
  <si>
    <t>Name</t>
  </si>
  <si>
    <t>Version</t>
  </si>
  <si>
    <t>License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</si>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</sst>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0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  <font>
      <u/>
      <color rgb="FF0000FF"/>
    </font>
    <font>
      <b/>
      <name val="Arial"/>
    </font>
    <font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6" numFmtId="0" xfId="0" applyAlignment="1" applyFill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4" fontId="7" numFmtId="0" xfId="0" applyAlignment="1" applyFill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3" fontId="6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2" fontId="6" numFmtId="0" xfId="0" applyAlignment="1" applyFont="1">
      <alignment horizontal="left" shrinkToFit="0" vertical="bottom" wrapText="1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left" shrinkToFit="0" vertical="bottom" wrapText="1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5" fontId="6" numFmtId="0" xfId="0" applyAlignment="1" applyFill="1" applyFont="1">
      <alignment horizontal="left" shrinkToFit="0" vertical="bottom" wrapText="0"/>
    </xf>
    <xf borderId="0" fillId="5" fontId="7" numFmtId="0" xfId="0" applyAlignment="1" applyFont="1">
      <alignment shrinkToFit="0" vertical="bottom" wrapText="0"/>
    </xf>
    <xf borderId="0" fillId="5" fontId="7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7" numFmtId="0" xfId="0" applyAlignment="1" applyFont="1">
      <alignment horizontal="right" shrinkToFit="0" vertical="bottom" wrapText="0"/>
    </xf>
    <xf borderId="0" fillId="6" fontId="6" numFmtId="0" xfId="0" applyAlignment="1" applyFill="1" applyFont="1">
      <alignment horizontal="left" shrinkToFit="0" vertical="bottom" wrapText="0"/>
    </xf>
    <xf borderId="0" fillId="6" fontId="6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1"/>
    </xf>
    <xf borderId="0" fillId="3" fontId="8" numFmtId="0" xfId="0" applyAlignment="1" applyFont="1">
      <alignment horizontal="center" shrinkToFit="0" vertical="bottom" wrapText="0"/>
    </xf>
    <xf borderId="0" fillId="4" fontId="7" numFmtId="0" xfId="0" applyAlignment="1" applyFont="1">
      <alignment horizontal="left" shrinkToFit="0" vertical="bottom" wrapText="1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shrinkToFit="0" vertical="bottom" wrapText="0"/>
    </xf>
    <xf borderId="0" fillId="7" fontId="6" numFmtId="0" xfId="0" applyAlignment="1" applyFill="1" applyFont="1">
      <alignment horizontal="left" shrinkToFit="0" vertical="bottom" wrapText="0"/>
    </xf>
    <xf borderId="0" fillId="7" fontId="6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1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4" fontId="7" numFmtId="0" xfId="0" applyAlignment="1" applyFont="1">
      <alignment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1"/>
    </xf>
    <xf borderId="0" fillId="8" fontId="1" numFmtId="0" xfId="0" applyAlignment="1" applyFill="1" applyFont="1">
      <alignment readingOrder="0" shrinkToFit="0" wrapText="0"/>
    </xf>
    <xf borderId="0" fillId="8" fontId="1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4" xfId="0" applyAlignment="1" applyFont="1" applyNumberFormat="1">
      <alignment shrinkToFit="0" vertical="center" wrapText="1"/>
    </xf>
    <xf borderId="0" fillId="2" fontId="7" numFmtId="4" xfId="0" applyAlignment="1" applyFont="1" applyNumberForma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3" fontId="7" numFmtId="4" xfId="0" applyAlignment="1" applyFont="1" applyNumberFormat="1">
      <alignment shrinkToFit="0" vertical="center" wrapText="1"/>
    </xf>
    <xf borderId="0" fillId="7" fontId="9" numFmtId="4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4" fontId="6" numFmtId="0" xfId="0" applyAlignment="1" applyFont="1">
      <alignment shrinkToFit="0" vertical="center" wrapText="1"/>
    </xf>
    <xf borderId="0" fillId="4" fontId="7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TaskOrbit Conversational Agent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 Create a flawless and valuable project that the industry partner will be able to use. Create clean and reusable code and structure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G34" displayName="Table_7" name="Table_7" id="7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8.xml><?xml version="1.0" encoding="utf-8"?>
<table xmlns="http://schemas.openxmlformats.org/spreadsheetml/2006/main" ref="A1:B20" displayName="Table_8" name="Table_8" id="8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2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288966243?pwd=DnF4jxSAfJugyMmynzjE1BaaFprRbi.1" TargetMode="External"/><Relationship Id="rId2" Type="http://schemas.openxmlformats.org/officeDocument/2006/relationships/hyperlink" Target="https://github.com/amosproj/amos2026ss04-taskorbit-conversational-agent" TargetMode="External"/><Relationship Id="rId3" Type="http://schemas.openxmlformats.org/officeDocument/2006/relationships/hyperlink" Target="https://github.com/orgs/amosproj/projects/100/views/2" TargetMode="External"/><Relationship Id="rId4" Type="http://schemas.openxmlformats.org/officeDocument/2006/relationships/hyperlink" Target="https://github.com/orgs/amosproj/projects/104/views/1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github.com/amosproj/amos2026ss04-taskorbit-conversational-agent/blob/feature/team-logo-design/Deliverables/sprint-01/team-logo.png" TargetMode="External"/><Relationship Id="rId6" Type="http://schemas.openxmlformats.org/officeDocument/2006/relationships/hyperlink" Target="https://github.com/amosproj/amos2026ss04-taskorbit-conversational-agent/blob/feature/team-logo-design/Deliverables/sprint-01/team-logo.png" TargetMode="External"/><Relationship Id="rId7" Type="http://schemas.openxmlformats.org/officeDocument/2006/relationships/hyperlink" Target="https://discord.gg/usXpc5ab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6ss04-taskorbit-conversational-agent/blob/feature/team-logo-design/Deliverables/sprint-01/team-logo.png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3"/>
    </row>
    <row r="5">
      <c r="A5" s="4" t="s">
        <v>4</v>
      </c>
      <c r="B5" s="2" t="s">
        <v>5</v>
      </c>
    </row>
    <row r="6">
      <c r="A6" s="4" t="s">
        <v>6</v>
      </c>
      <c r="B6" s="2" t="s">
        <v>5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1">
      <c r="A11" s="1"/>
      <c r="B11" s="3"/>
    </row>
    <row r="12">
      <c r="A12" s="7" t="s">
        <v>13</v>
      </c>
      <c r="B12" s="2" t="s">
        <v>14</v>
      </c>
    </row>
    <row r="13">
      <c r="A13" s="4" t="s">
        <v>15</v>
      </c>
      <c r="B13" s="6" t="s">
        <v>16</v>
      </c>
    </row>
    <row r="14">
      <c r="A14" s="4" t="s">
        <v>17</v>
      </c>
      <c r="B14" s="8" t="s">
        <v>16</v>
      </c>
    </row>
    <row r="15">
      <c r="A15" s="1"/>
      <c r="B15" s="3"/>
    </row>
    <row r="16">
      <c r="A16" s="1" t="s">
        <v>18</v>
      </c>
      <c r="B16" s="6" t="s">
        <v>19</v>
      </c>
    </row>
    <row r="17">
      <c r="A17" s="1"/>
      <c r="B17" s="3"/>
    </row>
    <row r="18">
      <c r="A18" s="4" t="s">
        <v>20</v>
      </c>
      <c r="B18" s="2" t="s">
        <v>21</v>
      </c>
    </row>
    <row r="19">
      <c r="A19" s="1"/>
      <c r="B19" s="3"/>
    </row>
    <row r="20">
      <c r="A20" s="1"/>
      <c r="B20" s="3"/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3"/>
    <hyperlink r:id="rId6" ref="B14"/>
    <hyperlink r:id="rId7" ref="B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9" t="s">
        <v>22</v>
      </c>
      <c r="B1" s="9" t="s">
        <v>23</v>
      </c>
      <c r="C1" s="9" t="s">
        <v>24</v>
      </c>
      <c r="D1" s="9" t="s">
        <v>25</v>
      </c>
    </row>
    <row r="2">
      <c r="A2" s="10" t="s">
        <v>26</v>
      </c>
      <c r="B2" s="10" t="s">
        <v>27</v>
      </c>
      <c r="C2" s="10" t="s">
        <v>28</v>
      </c>
      <c r="D2" s="10" t="s">
        <v>29</v>
      </c>
    </row>
    <row r="3">
      <c r="A3" s="10" t="s">
        <v>30</v>
      </c>
      <c r="B3" s="10" t="s">
        <v>31</v>
      </c>
      <c r="C3" s="10" t="s">
        <v>32</v>
      </c>
      <c r="D3" s="10" t="s">
        <v>33</v>
      </c>
    </row>
    <row r="4">
      <c r="A4" s="10" t="s">
        <v>34</v>
      </c>
      <c r="B4" s="10" t="s">
        <v>35</v>
      </c>
      <c r="C4" s="10" t="s">
        <v>36</v>
      </c>
      <c r="D4" s="10" t="s">
        <v>37</v>
      </c>
    </row>
    <row r="5">
      <c r="A5" s="10" t="s">
        <v>38</v>
      </c>
      <c r="B5" s="11" t="s">
        <v>39</v>
      </c>
      <c r="C5" s="10" t="s">
        <v>40</v>
      </c>
      <c r="D5" s="10" t="s">
        <v>41</v>
      </c>
    </row>
    <row r="6">
      <c r="A6" s="10" t="s">
        <v>42</v>
      </c>
      <c r="B6" s="10" t="s">
        <v>43</v>
      </c>
      <c r="C6" s="10" t="s">
        <v>44</v>
      </c>
      <c r="D6" s="10" t="s">
        <v>45</v>
      </c>
    </row>
    <row r="7">
      <c r="A7" s="10" t="s">
        <v>46</v>
      </c>
      <c r="B7" s="10" t="s">
        <v>47</v>
      </c>
      <c r="C7" s="10" t="s">
        <v>48</v>
      </c>
      <c r="D7" s="10" t="s">
        <v>49</v>
      </c>
    </row>
    <row r="8">
      <c r="A8" s="10" t="s">
        <v>50</v>
      </c>
      <c r="B8" s="10" t="s">
        <v>51</v>
      </c>
      <c r="C8" s="10" t="s">
        <v>52</v>
      </c>
      <c r="D8" s="10" t="s">
        <v>53</v>
      </c>
    </row>
    <row r="9">
      <c r="A9" s="10" t="s">
        <v>54</v>
      </c>
      <c r="B9" s="10" t="s">
        <v>55</v>
      </c>
      <c r="C9" s="10" t="s">
        <v>56</v>
      </c>
      <c r="D9" s="10" t="s">
        <v>57</v>
      </c>
    </row>
    <row r="10">
      <c r="A10" s="10" t="s">
        <v>58</v>
      </c>
      <c r="B10" s="10" t="s">
        <v>59</v>
      </c>
      <c r="C10" s="10" t="s">
        <v>60</v>
      </c>
      <c r="D10" s="10" t="s">
        <v>61</v>
      </c>
    </row>
    <row r="11">
      <c r="A11" s="10" t="s">
        <v>62</v>
      </c>
      <c r="B11" s="10" t="s">
        <v>63</v>
      </c>
      <c r="C11" s="10" t="s">
        <v>64</v>
      </c>
      <c r="D11" s="10" t="s">
        <v>65</v>
      </c>
    </row>
    <row r="12">
      <c r="A12" s="12"/>
      <c r="B12" s="12"/>
      <c r="C12" s="12"/>
      <c r="D12" s="12"/>
    </row>
    <row r="13">
      <c r="A13" s="9"/>
      <c r="B13" s="13"/>
      <c r="C13" s="13"/>
      <c r="D13" s="13"/>
    </row>
    <row r="14">
      <c r="A14" s="12"/>
      <c r="B14" s="10"/>
      <c r="C14" s="12"/>
      <c r="D14" s="12"/>
    </row>
    <row r="15">
      <c r="A15" s="12"/>
      <c r="B15" s="10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14"/>
      <c r="B1" s="14"/>
      <c r="C1" s="14" t="s">
        <v>66</v>
      </c>
      <c r="E1" s="14"/>
      <c r="F1" s="15"/>
      <c r="G1" s="15"/>
      <c r="H1" s="14"/>
    </row>
    <row r="2">
      <c r="A2" s="16" t="s">
        <v>67</v>
      </c>
      <c r="B2" s="16" t="s">
        <v>68</v>
      </c>
      <c r="C2" s="16" t="s">
        <v>69</v>
      </c>
      <c r="D2" s="16" t="s">
        <v>70</v>
      </c>
      <c r="E2" s="16" t="s">
        <v>71</v>
      </c>
      <c r="F2" s="17" t="s">
        <v>72</v>
      </c>
      <c r="G2" s="17" t="s">
        <v>73</v>
      </c>
      <c r="H2" s="16" t="s">
        <v>74</v>
      </c>
    </row>
    <row r="3">
      <c r="A3" s="18">
        <v>1.0</v>
      </c>
      <c r="B3" s="19">
        <v>46127.0</v>
      </c>
      <c r="C3" s="10"/>
      <c r="D3" s="10" t="s">
        <v>43</v>
      </c>
      <c r="E3" s="10" t="s">
        <v>75</v>
      </c>
      <c r="F3" s="10" t="s">
        <v>76</v>
      </c>
      <c r="G3" s="10" t="s">
        <v>39</v>
      </c>
      <c r="H3" s="20"/>
    </row>
    <row r="4">
      <c r="A4" s="18">
        <v>2.0</v>
      </c>
      <c r="B4" s="21">
        <f t="shared" ref="B4:B17" si="1">B3+7</f>
        <v>46134</v>
      </c>
      <c r="C4" s="10" t="s">
        <v>43</v>
      </c>
      <c r="D4" s="10" t="s">
        <v>31</v>
      </c>
      <c r="E4" s="10"/>
      <c r="F4" s="10" t="s">
        <v>77</v>
      </c>
      <c r="G4" s="10" t="s">
        <v>39</v>
      </c>
      <c r="H4" s="20"/>
    </row>
    <row r="5">
      <c r="A5" s="18">
        <v>3.0</v>
      </c>
      <c r="B5" s="21">
        <f t="shared" si="1"/>
        <v>46141</v>
      </c>
      <c r="C5" s="10" t="s">
        <v>31</v>
      </c>
      <c r="D5" s="10" t="s">
        <v>43</v>
      </c>
      <c r="E5" s="10"/>
      <c r="F5" s="10" t="s">
        <v>58</v>
      </c>
      <c r="G5" s="10" t="s">
        <v>39</v>
      </c>
      <c r="H5" s="20"/>
    </row>
    <row r="6">
      <c r="A6" s="18">
        <v>4.0</v>
      </c>
      <c r="B6" s="21">
        <f t="shared" si="1"/>
        <v>46148</v>
      </c>
      <c r="C6" s="10" t="s">
        <v>43</v>
      </c>
      <c r="D6" s="10" t="s">
        <v>31</v>
      </c>
      <c r="E6" s="10"/>
      <c r="F6" s="10" t="s">
        <v>27</v>
      </c>
      <c r="G6" s="10" t="s">
        <v>39</v>
      </c>
      <c r="H6" s="20"/>
    </row>
    <row r="7">
      <c r="A7" s="18">
        <v>5.0</v>
      </c>
      <c r="B7" s="21">
        <f t="shared" si="1"/>
        <v>46155</v>
      </c>
      <c r="C7" s="10" t="s">
        <v>31</v>
      </c>
      <c r="D7" s="10" t="s">
        <v>43</v>
      </c>
      <c r="E7" s="10"/>
      <c r="F7" s="10" t="s">
        <v>78</v>
      </c>
      <c r="G7" s="10" t="s">
        <v>39</v>
      </c>
      <c r="H7" s="20"/>
    </row>
    <row r="8">
      <c r="A8" s="18">
        <v>6.0</v>
      </c>
      <c r="B8" s="21">
        <f t="shared" si="1"/>
        <v>46162</v>
      </c>
      <c r="C8" s="10" t="s">
        <v>43</v>
      </c>
      <c r="D8" s="10" t="s">
        <v>31</v>
      </c>
      <c r="E8" s="10"/>
      <c r="F8" s="10" t="s">
        <v>79</v>
      </c>
      <c r="G8" s="10" t="s">
        <v>39</v>
      </c>
      <c r="H8" s="20"/>
    </row>
    <row r="9">
      <c r="A9" s="18">
        <v>7.0</v>
      </c>
      <c r="B9" s="21">
        <f t="shared" si="1"/>
        <v>46169</v>
      </c>
      <c r="C9" s="10" t="s">
        <v>31</v>
      </c>
      <c r="D9" s="10" t="s">
        <v>43</v>
      </c>
      <c r="E9" s="10"/>
      <c r="F9" s="10" t="s">
        <v>80</v>
      </c>
      <c r="G9" s="10" t="s">
        <v>39</v>
      </c>
      <c r="H9" s="22" t="s">
        <v>81</v>
      </c>
    </row>
    <row r="10">
      <c r="A10" s="18">
        <v>8.0</v>
      </c>
      <c r="B10" s="21">
        <f t="shared" si="1"/>
        <v>46176</v>
      </c>
      <c r="C10" s="10" t="s">
        <v>43</v>
      </c>
      <c r="D10" s="10" t="s">
        <v>31</v>
      </c>
      <c r="E10" s="12"/>
      <c r="F10" s="10" t="s">
        <v>55</v>
      </c>
      <c r="G10" s="10" t="s">
        <v>39</v>
      </c>
      <c r="H10" s="20"/>
    </row>
    <row r="11">
      <c r="A11" s="18">
        <v>9.0</v>
      </c>
      <c r="B11" s="21">
        <f t="shared" si="1"/>
        <v>46183</v>
      </c>
      <c r="C11" s="10" t="s">
        <v>31</v>
      </c>
      <c r="D11" s="10" t="s">
        <v>43</v>
      </c>
      <c r="E11" s="12"/>
      <c r="F11" s="10" t="s">
        <v>77</v>
      </c>
      <c r="G11" s="10" t="s">
        <v>39</v>
      </c>
      <c r="H11" s="20"/>
    </row>
    <row r="12">
      <c r="A12" s="18">
        <v>10.0</v>
      </c>
      <c r="B12" s="21">
        <f t="shared" si="1"/>
        <v>46190</v>
      </c>
      <c r="C12" s="10" t="s">
        <v>43</v>
      </c>
      <c r="D12" s="10" t="s">
        <v>31</v>
      </c>
      <c r="E12" s="12"/>
      <c r="F12" s="10" t="s">
        <v>58</v>
      </c>
      <c r="G12" s="10" t="s">
        <v>39</v>
      </c>
      <c r="H12" s="20"/>
    </row>
    <row r="13">
      <c r="A13" s="18">
        <v>11.0</v>
      </c>
      <c r="B13" s="21">
        <f t="shared" si="1"/>
        <v>46197</v>
      </c>
      <c r="C13" s="10" t="s">
        <v>31</v>
      </c>
      <c r="D13" s="10" t="s">
        <v>43</v>
      </c>
      <c r="E13" s="12"/>
      <c r="F13" s="10" t="s">
        <v>27</v>
      </c>
      <c r="G13" s="10" t="s">
        <v>39</v>
      </c>
      <c r="H13" s="20"/>
    </row>
    <row r="14">
      <c r="A14" s="18">
        <v>12.0</v>
      </c>
      <c r="B14" s="21">
        <f t="shared" si="1"/>
        <v>46204</v>
      </c>
      <c r="C14" s="10" t="s">
        <v>43</v>
      </c>
      <c r="D14" s="10" t="s">
        <v>31</v>
      </c>
      <c r="E14" s="12"/>
      <c r="F14" s="10" t="s">
        <v>78</v>
      </c>
      <c r="G14" s="10" t="s">
        <v>39</v>
      </c>
      <c r="H14" s="20"/>
    </row>
    <row r="15">
      <c r="A15" s="18">
        <v>13.0</v>
      </c>
      <c r="B15" s="21">
        <f t="shared" si="1"/>
        <v>46211</v>
      </c>
      <c r="C15" s="10" t="s">
        <v>31</v>
      </c>
      <c r="D15" s="10" t="s">
        <v>43</v>
      </c>
      <c r="E15" s="12"/>
      <c r="F15" s="10" t="s">
        <v>79</v>
      </c>
      <c r="G15" s="10" t="s">
        <v>39</v>
      </c>
      <c r="H15" s="20"/>
    </row>
    <row r="16">
      <c r="A16" s="18">
        <v>14.0</v>
      </c>
      <c r="B16" s="21">
        <f t="shared" si="1"/>
        <v>46218</v>
      </c>
      <c r="C16" s="10" t="s">
        <v>43</v>
      </c>
      <c r="D16" s="10" t="s">
        <v>31</v>
      </c>
      <c r="E16" s="12"/>
      <c r="F16" s="10" t="s">
        <v>80</v>
      </c>
      <c r="G16" s="10" t="s">
        <v>39</v>
      </c>
      <c r="H16" s="22" t="s">
        <v>82</v>
      </c>
    </row>
    <row r="17">
      <c r="A17" s="18">
        <v>15.0</v>
      </c>
      <c r="B17" s="21">
        <f t="shared" si="1"/>
        <v>46225</v>
      </c>
      <c r="C17" s="10" t="s">
        <v>31</v>
      </c>
      <c r="D17" s="10" t="s">
        <v>43</v>
      </c>
      <c r="E17" s="12"/>
      <c r="F17" s="10" t="s">
        <v>55</v>
      </c>
      <c r="G17" s="10" t="s">
        <v>39</v>
      </c>
      <c r="H17" s="22" t="s">
        <v>83</v>
      </c>
    </row>
    <row r="18">
      <c r="A18" s="18"/>
      <c r="B18" s="23"/>
      <c r="C18" s="12"/>
      <c r="D18" s="12"/>
      <c r="E18" s="12"/>
      <c r="F18" s="12"/>
      <c r="G18" s="12"/>
      <c r="H18" s="24"/>
    </row>
    <row r="19">
      <c r="A19" s="22" t="s">
        <v>84</v>
      </c>
      <c r="B19" s="25"/>
      <c r="C19" s="26"/>
      <c r="D19" s="26"/>
      <c r="E19" s="26"/>
      <c r="F19" s="26"/>
      <c r="G19" s="26"/>
      <c r="H19" s="24"/>
    </row>
    <row r="20">
      <c r="A20" s="26"/>
      <c r="B20" s="23"/>
      <c r="C20" s="12"/>
      <c r="D20" s="12"/>
      <c r="E20" s="12"/>
      <c r="F20" s="12"/>
      <c r="G20" s="12"/>
      <c r="H20" s="24"/>
    </row>
    <row r="21">
      <c r="A21" s="18"/>
      <c r="B21" s="23"/>
      <c r="C21" s="12"/>
      <c r="D21" s="12"/>
      <c r="E21" s="12"/>
      <c r="F21" s="12"/>
      <c r="G21" s="12"/>
      <c r="H21" s="24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27" t="s">
        <v>85</v>
      </c>
      <c r="B1" s="28" t="s">
        <v>86</v>
      </c>
    </row>
    <row r="2">
      <c r="A2" s="29"/>
      <c r="B2" s="30"/>
    </row>
    <row r="3">
      <c r="A3" s="31" t="s">
        <v>87</v>
      </c>
      <c r="B3" s="28" t="s">
        <v>88</v>
      </c>
    </row>
    <row r="4">
      <c r="A4" s="29"/>
      <c r="B4" s="32" t="s">
        <v>89</v>
      </c>
    </row>
    <row r="5">
      <c r="A5" s="31" t="s">
        <v>90</v>
      </c>
      <c r="B5" s="28" t="s">
        <v>91</v>
      </c>
    </row>
    <row r="6">
      <c r="A6" s="29"/>
      <c r="B6" s="30"/>
    </row>
    <row r="7">
      <c r="A7" s="31" t="s">
        <v>92</v>
      </c>
      <c r="B7" s="28" t="s">
        <v>93</v>
      </c>
    </row>
    <row r="8">
      <c r="A8" s="29"/>
      <c r="B8" s="30"/>
    </row>
    <row r="9">
      <c r="A9" s="31" t="s">
        <v>94</v>
      </c>
      <c r="B9" s="28" t="s">
        <v>95</v>
      </c>
    </row>
    <row r="10">
      <c r="A10" s="29"/>
      <c r="B10" s="30"/>
    </row>
    <row r="11">
      <c r="A11" s="31" t="s">
        <v>96</v>
      </c>
      <c r="B11" s="28" t="s">
        <v>97</v>
      </c>
    </row>
    <row r="12">
      <c r="A12" s="30"/>
      <c r="B12" s="30"/>
    </row>
    <row r="13">
      <c r="A13" s="31" t="s">
        <v>98</v>
      </c>
      <c r="B13" s="28" t="s">
        <v>99</v>
      </c>
    </row>
    <row r="14">
      <c r="A14" s="30"/>
      <c r="B14" s="30"/>
    </row>
    <row r="15">
      <c r="A15" s="33" t="s">
        <v>100</v>
      </c>
      <c r="B15" s="28" t="s">
        <v>101</v>
      </c>
    </row>
    <row r="16">
      <c r="A16" s="30"/>
      <c r="B16" s="30"/>
    </row>
    <row r="17">
      <c r="A17" s="33" t="s">
        <v>102</v>
      </c>
      <c r="B17" s="28" t="s">
        <v>103</v>
      </c>
    </row>
    <row r="18">
      <c r="A18" s="30"/>
      <c r="B18" s="30"/>
    </row>
    <row r="19">
      <c r="A19" s="31" t="s">
        <v>104</v>
      </c>
      <c r="B19" s="33"/>
    </row>
    <row r="21">
      <c r="A21" s="34" t="s">
        <v>73</v>
      </c>
      <c r="B21" s="35" t="s">
        <v>105</v>
      </c>
    </row>
    <row r="22">
      <c r="A22" s="34" t="s">
        <v>106</v>
      </c>
      <c r="B22" s="35" t="s">
        <v>107</v>
      </c>
    </row>
    <row r="23">
      <c r="A23" s="34" t="s">
        <v>106</v>
      </c>
      <c r="B23" s="35" t="s">
        <v>108</v>
      </c>
    </row>
    <row r="24">
      <c r="A24" s="34" t="s">
        <v>109</v>
      </c>
      <c r="B24" s="35" t="s">
        <v>77</v>
      </c>
    </row>
    <row r="25">
      <c r="A25" s="34" t="s">
        <v>109</v>
      </c>
      <c r="B25" s="35" t="s">
        <v>110</v>
      </c>
    </row>
    <row r="26">
      <c r="A26" s="34" t="s">
        <v>109</v>
      </c>
      <c r="B26" s="35" t="s">
        <v>79</v>
      </c>
    </row>
    <row r="27">
      <c r="A27" s="34" t="s">
        <v>109</v>
      </c>
      <c r="B27" s="35" t="s">
        <v>78</v>
      </c>
    </row>
    <row r="28">
      <c r="A28" s="34" t="s">
        <v>109</v>
      </c>
      <c r="B28" s="35" t="s">
        <v>80</v>
      </c>
    </row>
    <row r="29">
      <c r="A29" s="34" t="s">
        <v>109</v>
      </c>
      <c r="B29" s="35" t="s">
        <v>111</v>
      </c>
    </row>
    <row r="30">
      <c r="A30" s="35" t="s">
        <v>109</v>
      </c>
      <c r="B30" s="35" t="s">
        <v>112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36" t="s">
        <v>113</v>
      </c>
      <c r="B1" s="36" t="s">
        <v>114</v>
      </c>
    </row>
    <row r="2">
      <c r="A2" s="37"/>
      <c r="B2" s="38"/>
    </row>
    <row r="3">
      <c r="A3" s="39" t="s">
        <v>115</v>
      </c>
      <c r="B3" s="39" t="s">
        <v>116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0" t="s">
        <v>117</v>
      </c>
      <c r="B1" s="40" t="s">
        <v>118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119</v>
      </c>
      <c r="B1" s="4" t="s">
        <v>120</v>
      </c>
    </row>
    <row r="2">
      <c r="A2" s="42">
        <v>1.0</v>
      </c>
      <c r="B2" s="2" t="s">
        <v>121</v>
      </c>
    </row>
    <row r="3">
      <c r="A3" s="42">
        <f t="shared" ref="A3:A16" si="1">A2+1</f>
        <v>2</v>
      </c>
      <c r="B3" s="2" t="s">
        <v>121</v>
      </c>
    </row>
    <row r="4">
      <c r="A4" s="42">
        <f t="shared" si="1"/>
        <v>3</v>
      </c>
      <c r="B4" s="2" t="s">
        <v>121</v>
      </c>
    </row>
    <row r="5">
      <c r="A5" s="42">
        <f t="shared" si="1"/>
        <v>4</v>
      </c>
      <c r="B5" s="35" t="s">
        <v>122</v>
      </c>
    </row>
    <row r="6">
      <c r="A6" s="42">
        <f t="shared" si="1"/>
        <v>5</v>
      </c>
      <c r="B6" s="2" t="s">
        <v>123</v>
      </c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3"/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124</v>
      </c>
      <c r="B1" s="45" t="s">
        <v>125</v>
      </c>
      <c r="C1" s="46" t="s">
        <v>126</v>
      </c>
      <c r="D1" s="47" t="s">
        <v>127</v>
      </c>
      <c r="E1" s="47" t="s">
        <v>128</v>
      </c>
      <c r="F1" s="47" t="s">
        <v>129</v>
      </c>
      <c r="G1" s="47" t="s">
        <v>130</v>
      </c>
    </row>
    <row r="2">
      <c r="A2" s="48"/>
      <c r="B2" s="49"/>
      <c r="C2" s="50"/>
      <c r="D2" s="50"/>
      <c r="E2" s="50"/>
      <c r="F2" s="50"/>
      <c r="G2" s="50"/>
    </row>
    <row r="3">
      <c r="A3" s="51" t="s">
        <v>131</v>
      </c>
      <c r="B3" s="52"/>
      <c r="C3" s="53"/>
      <c r="D3" s="53"/>
      <c r="E3" s="53"/>
      <c r="F3" s="53"/>
      <c r="G3" s="53"/>
    </row>
    <row r="4">
      <c r="A4" s="48"/>
      <c r="B4" s="49"/>
      <c r="C4" s="50"/>
      <c r="D4" s="50"/>
      <c r="E4" s="50"/>
      <c r="F4" s="50"/>
      <c r="G4" s="50"/>
    </row>
    <row r="5">
      <c r="A5" s="54" t="s">
        <v>132</v>
      </c>
      <c r="B5" s="55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49"/>
      <c r="C6" s="50"/>
      <c r="D6" s="50"/>
      <c r="E6" s="50"/>
      <c r="F6" s="50"/>
      <c r="G6" s="50"/>
    </row>
    <row r="7">
      <c r="A7" s="57" t="s">
        <v>133</v>
      </c>
      <c r="B7" s="58"/>
      <c r="C7" s="59"/>
      <c r="D7" s="59"/>
      <c r="E7" s="59"/>
      <c r="F7" s="59"/>
      <c r="G7" s="59"/>
    </row>
    <row r="8">
      <c r="A8" s="48"/>
      <c r="B8" s="49"/>
      <c r="C8" s="50"/>
      <c r="D8" s="50"/>
      <c r="E8" s="60" t="s">
        <v>134</v>
      </c>
      <c r="F8" s="50"/>
      <c r="G8" s="60" t="s">
        <v>135</v>
      </c>
    </row>
    <row r="9">
      <c r="A9" s="61">
        <v>1.0</v>
      </c>
      <c r="B9" s="54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49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54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136</v>
      </c>
      <c r="B12" s="64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54"/>
      <c r="C13" s="30"/>
      <c r="D13" s="30"/>
      <c r="E13" s="30"/>
      <c r="F13" s="30"/>
      <c r="G13" s="30"/>
    </row>
    <row r="14">
      <c r="A14" s="65" t="s">
        <v>137</v>
      </c>
      <c r="B14" s="66"/>
      <c r="C14" s="67"/>
      <c r="D14" s="67"/>
      <c r="E14" s="67"/>
      <c r="F14" s="67"/>
      <c r="G14" s="67"/>
    </row>
    <row r="15">
      <c r="A15" s="61"/>
      <c r="B15" s="54"/>
      <c r="C15" s="30"/>
      <c r="D15" s="30"/>
      <c r="E15" s="30"/>
      <c r="F15" s="30"/>
      <c r="G15" s="30"/>
    </row>
    <row r="16">
      <c r="A16" s="68">
        <f t="shared" ref="A16:B16" si="4">A9</f>
        <v>1</v>
      </c>
      <c r="B16" s="69" t="str">
        <f t="shared" si="4"/>
        <v/>
      </c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49"/>
      <c r="C18" s="64"/>
      <c r="D18" s="71"/>
      <c r="E18" s="49"/>
      <c r="F18" s="71"/>
      <c r="G18" s="49"/>
    </row>
    <row r="19">
      <c r="A19" s="61"/>
      <c r="B19" s="70"/>
      <c r="C19" s="30"/>
      <c r="D19" s="56"/>
      <c r="E19" s="30"/>
      <c r="F19" s="56"/>
      <c r="G19" s="30"/>
    </row>
    <row r="20">
      <c r="A20" s="72"/>
      <c r="B20" s="64"/>
      <c r="C20" s="64"/>
      <c r="D20" s="62"/>
      <c r="E20" s="64"/>
      <c r="F20" s="62"/>
      <c r="G20" s="64"/>
    </row>
    <row r="21">
      <c r="A21" s="61"/>
      <c r="B21" s="70"/>
      <c r="C21" s="30"/>
      <c r="D21" s="56"/>
      <c r="E21" s="30"/>
      <c r="F21" s="56"/>
      <c r="G21" s="30"/>
    </row>
    <row r="22">
      <c r="A22" s="68">
        <f t="shared" ref="A22:B22" si="5">A10</f>
        <v>2</v>
      </c>
      <c r="B22" s="69" t="str">
        <f t="shared" si="5"/>
        <v/>
      </c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64"/>
      <c r="C24" s="64"/>
      <c r="D24" s="62"/>
      <c r="E24" s="64"/>
      <c r="F24" s="62"/>
      <c r="G24" s="64"/>
    </row>
    <row r="25">
      <c r="A25" s="61"/>
      <c r="B25" s="70"/>
      <c r="C25" s="30"/>
      <c r="D25" s="56"/>
      <c r="E25" s="30"/>
      <c r="F25" s="56"/>
      <c r="G25" s="30"/>
    </row>
    <row r="26">
      <c r="A26" s="72"/>
      <c r="B26" s="64"/>
      <c r="C26" s="64"/>
      <c r="D26" s="62"/>
      <c r="E26" s="64"/>
      <c r="F26" s="62"/>
      <c r="G26" s="64"/>
    </row>
    <row r="27">
      <c r="A27" s="61"/>
      <c r="B27" s="70"/>
      <c r="C27" s="30"/>
      <c r="D27" s="56"/>
      <c r="E27" s="30"/>
      <c r="F27" s="56"/>
      <c r="G27" s="30"/>
    </row>
    <row r="28">
      <c r="A28" s="68">
        <f t="shared" ref="A28:B28" si="6">A11</f>
        <v>3</v>
      </c>
      <c r="B28" s="69" t="str">
        <f t="shared" si="6"/>
        <v/>
      </c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64"/>
      <c r="C30" s="64"/>
      <c r="D30" s="62"/>
      <c r="E30" s="64"/>
      <c r="F30" s="64"/>
      <c r="G30" s="64"/>
    </row>
    <row r="31">
      <c r="A31" s="61"/>
      <c r="B31" s="70"/>
      <c r="C31" s="30"/>
      <c r="D31" s="56"/>
      <c r="E31" s="30"/>
      <c r="F31" s="30"/>
      <c r="G31" s="30"/>
    </row>
    <row r="32">
      <c r="A32" s="72"/>
      <c r="B32" s="64"/>
      <c r="C32" s="50"/>
      <c r="D32" s="62"/>
      <c r="E32" s="64"/>
      <c r="F32" s="64"/>
      <c r="G32" s="64"/>
    </row>
    <row r="33">
      <c r="A33" s="61"/>
      <c r="B33" s="70"/>
      <c r="C33" s="73" t="s">
        <v>138</v>
      </c>
      <c r="D33" s="56"/>
      <c r="E33" s="30"/>
      <c r="F33" s="30"/>
      <c r="G33" s="30"/>
    </row>
    <row r="34">
      <c r="A34" s="72"/>
      <c r="B34" s="64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119</v>
      </c>
      <c r="B1" s="4" t="s">
        <v>139</v>
      </c>
    </row>
    <row r="2">
      <c r="A2" s="42">
        <v>1.0</v>
      </c>
      <c r="B2" s="2"/>
    </row>
    <row r="3">
      <c r="A3" s="42">
        <f t="shared" ref="A3:A16" si="1">A2+1</f>
        <v>2</v>
      </c>
      <c r="B3" s="2"/>
    </row>
    <row r="4">
      <c r="A4" s="42">
        <f t="shared" si="1"/>
        <v>3</v>
      </c>
      <c r="B4" s="2"/>
    </row>
    <row r="5">
      <c r="A5" s="42">
        <f t="shared" si="1"/>
        <v>4</v>
      </c>
    </row>
    <row r="6">
      <c r="A6" s="42">
        <f t="shared" si="1"/>
        <v>5</v>
      </c>
      <c r="B6" s="2"/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74" t="s">
        <v>140</v>
      </c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124</v>
      </c>
      <c r="B1" s="75" t="s">
        <v>125</v>
      </c>
      <c r="C1" s="46" t="s">
        <v>126</v>
      </c>
      <c r="D1" s="47" t="s">
        <v>127</v>
      </c>
      <c r="E1" s="47" t="s">
        <v>128</v>
      </c>
      <c r="F1" s="47" t="s">
        <v>129</v>
      </c>
      <c r="G1" s="47" t="s">
        <v>130</v>
      </c>
    </row>
    <row r="2">
      <c r="A2" s="48"/>
      <c r="B2" s="50"/>
      <c r="C2" s="50"/>
      <c r="D2" s="50"/>
      <c r="E2" s="50"/>
      <c r="F2" s="50"/>
      <c r="G2" s="50"/>
    </row>
    <row r="3">
      <c r="A3" s="51" t="s">
        <v>131</v>
      </c>
      <c r="B3" s="53"/>
      <c r="C3" s="53"/>
      <c r="D3" s="53"/>
      <c r="E3" s="53"/>
      <c r="F3" s="53"/>
      <c r="G3" s="53"/>
    </row>
    <row r="4">
      <c r="A4" s="48"/>
      <c r="B4" s="50"/>
      <c r="C4" s="50"/>
      <c r="D4" s="50"/>
      <c r="E4" s="50"/>
      <c r="F4" s="50"/>
      <c r="G4" s="50"/>
    </row>
    <row r="5">
      <c r="A5" s="54" t="s">
        <v>132</v>
      </c>
      <c r="B5" s="30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50"/>
      <c r="C6" s="50"/>
      <c r="D6" s="50"/>
      <c r="E6" s="50"/>
      <c r="F6" s="50"/>
      <c r="G6" s="50"/>
    </row>
    <row r="7">
      <c r="A7" s="57" t="s">
        <v>133</v>
      </c>
      <c r="B7" s="76"/>
      <c r="C7" s="59"/>
      <c r="D7" s="59"/>
      <c r="E7" s="59"/>
      <c r="F7" s="59"/>
      <c r="G7" s="59"/>
    </row>
    <row r="8">
      <c r="A8" s="48"/>
      <c r="B8" s="50"/>
      <c r="C8" s="50"/>
      <c r="D8" s="50"/>
      <c r="E8" s="60" t="s">
        <v>134</v>
      </c>
      <c r="F8" s="50"/>
      <c r="G8" s="60" t="s">
        <v>135</v>
      </c>
    </row>
    <row r="9">
      <c r="A9" s="61">
        <v>1.0</v>
      </c>
      <c r="B9" s="30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50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30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136</v>
      </c>
      <c r="B12" s="50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30"/>
      <c r="C13" s="30"/>
      <c r="D13" s="30"/>
      <c r="E13" s="30"/>
      <c r="F13" s="30"/>
      <c r="G13" s="30"/>
    </row>
    <row r="14">
      <c r="A14" s="65" t="s">
        <v>137</v>
      </c>
      <c r="B14" s="66"/>
      <c r="C14" s="67"/>
      <c r="D14" s="67"/>
      <c r="E14" s="67"/>
      <c r="F14" s="67"/>
      <c r="G14" s="67"/>
    </row>
    <row r="15">
      <c r="A15" s="61"/>
      <c r="B15" s="30"/>
      <c r="C15" s="30"/>
      <c r="D15" s="30"/>
      <c r="E15" s="30"/>
      <c r="F15" s="30"/>
      <c r="G15" s="30"/>
    </row>
    <row r="16">
      <c r="A16" s="68">
        <f>A9</f>
        <v>1</v>
      </c>
      <c r="B16" s="50"/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77"/>
      <c r="C18" s="64"/>
      <c r="D18" s="71"/>
      <c r="E18" s="49"/>
      <c r="F18" s="71"/>
      <c r="G18" s="49"/>
    </row>
    <row r="19">
      <c r="A19" s="61"/>
      <c r="B19" s="30"/>
      <c r="C19" s="30"/>
      <c r="D19" s="56"/>
      <c r="E19" s="30"/>
      <c r="F19" s="56"/>
      <c r="G19" s="30"/>
    </row>
    <row r="20">
      <c r="A20" s="72"/>
      <c r="B20" s="50"/>
      <c r="C20" s="64"/>
      <c r="D20" s="62"/>
      <c r="E20" s="64"/>
      <c r="F20" s="62"/>
      <c r="G20" s="64"/>
    </row>
    <row r="21">
      <c r="A21" s="61"/>
      <c r="B21" s="30"/>
      <c r="C21" s="30"/>
      <c r="D21" s="56"/>
      <c r="E21" s="30"/>
      <c r="F21" s="56"/>
      <c r="G21" s="30"/>
    </row>
    <row r="22">
      <c r="A22" s="68">
        <f>A10</f>
        <v>2</v>
      </c>
      <c r="B22" s="50"/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50"/>
      <c r="C24" s="64"/>
      <c r="D24" s="62"/>
      <c r="E24" s="64"/>
      <c r="F24" s="62"/>
      <c r="G24" s="64"/>
    </row>
    <row r="25">
      <c r="A25" s="61"/>
      <c r="B25" s="30"/>
      <c r="C25" s="30"/>
      <c r="D25" s="56"/>
      <c r="E25" s="30"/>
      <c r="F25" s="56"/>
      <c r="G25" s="30"/>
    </row>
    <row r="26">
      <c r="A26" s="72"/>
      <c r="B26" s="50"/>
      <c r="C26" s="64"/>
      <c r="D26" s="62"/>
      <c r="E26" s="64"/>
      <c r="F26" s="62"/>
      <c r="G26" s="64"/>
    </row>
    <row r="27">
      <c r="A27" s="61"/>
      <c r="B27" s="30"/>
      <c r="C27" s="30"/>
      <c r="D27" s="56"/>
      <c r="E27" s="30"/>
      <c r="F27" s="56"/>
      <c r="G27" s="30"/>
    </row>
    <row r="28">
      <c r="A28" s="68">
        <f>A11</f>
        <v>3</v>
      </c>
      <c r="B28" s="50"/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50"/>
      <c r="C30" s="64"/>
      <c r="D30" s="62"/>
      <c r="E30" s="64"/>
      <c r="F30" s="64"/>
      <c r="G30" s="64"/>
    </row>
    <row r="31">
      <c r="A31" s="61"/>
      <c r="B31" s="30"/>
      <c r="C31" s="30"/>
      <c r="D31" s="56"/>
      <c r="E31" s="30"/>
      <c r="F31" s="30"/>
      <c r="G31" s="30"/>
    </row>
    <row r="32">
      <c r="A32" s="72"/>
      <c r="B32" s="50"/>
      <c r="C32" s="50"/>
      <c r="D32" s="62"/>
      <c r="E32" s="64"/>
      <c r="F32" s="64"/>
      <c r="G32" s="64"/>
    </row>
    <row r="33">
      <c r="A33" s="61"/>
      <c r="B33" s="30"/>
      <c r="C33" s="73" t="s">
        <v>138</v>
      </c>
      <c r="D33" s="56"/>
      <c r="E33" s="30"/>
      <c r="F33" s="30"/>
      <c r="G33" s="30"/>
    </row>
    <row r="34">
      <c r="A34" s="72"/>
      <c r="B34" s="50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78" t="s">
        <v>67</v>
      </c>
      <c r="B1" s="45" t="s">
        <v>141</v>
      </c>
      <c r="C1" s="45" t="s">
        <v>142</v>
      </c>
      <c r="D1" s="79" t="s">
        <v>143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144</v>
      </c>
      <c r="B1" s="4" t="s">
        <v>145</v>
      </c>
    </row>
    <row r="2">
      <c r="A2" s="2" t="s">
        <v>146</v>
      </c>
      <c r="B2" s="8" t="s">
        <v>16</v>
      </c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hyperlinks>
    <hyperlink r:id="rId1" ref="B2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9" t="s">
        <v>67</v>
      </c>
      <c r="B1" s="4" t="s">
        <v>147</v>
      </c>
      <c r="C1" s="4" t="s">
        <v>148</v>
      </c>
      <c r="D1" s="4" t="s">
        <v>149</v>
      </c>
      <c r="E1" s="4" t="s">
        <v>150</v>
      </c>
      <c r="F1" s="4" t="s">
        <v>74</v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0" t="str">
        <f>'Project Team'!A1</f>
        <v>Last Name</v>
      </c>
      <c r="B1" s="80" t="str">
        <f>'Project Team'!B1</f>
        <v>First Name</v>
      </c>
      <c r="C1" s="81" t="s">
        <v>151</v>
      </c>
      <c r="D1" s="82"/>
      <c r="E1" s="83"/>
      <c r="F1" s="84"/>
      <c r="G1" s="85"/>
      <c r="H1" s="85"/>
    </row>
    <row r="2">
      <c r="A2" s="86" t="str">
        <f>'Project Team'!A2</f>
        <v>Fatima</v>
      </c>
      <c r="B2" s="86" t="str">
        <f>'Project Team'!B2</f>
        <v>Qiblatain</v>
      </c>
      <c r="C2" s="87">
        <v>0.0</v>
      </c>
      <c r="D2" s="88"/>
      <c r="E2" s="89">
        <f>average(C2:C10)</f>
        <v>0</v>
      </c>
      <c r="F2" s="90" t="str">
        <f>if(stdev(C2:C7) &gt; 0,"NOK", "OK")</f>
        <v>OK</v>
      </c>
      <c r="G2" s="91"/>
      <c r="H2" s="91"/>
    </row>
    <row r="3">
      <c r="A3" s="92" t="str">
        <f>'Project Team'!A3</f>
        <v>Huy</v>
      </c>
      <c r="B3" s="92" t="str">
        <f>'Project Team'!B3</f>
        <v>Christoph</v>
      </c>
      <c r="C3" s="87">
        <v>0.0</v>
      </c>
      <c r="D3" s="93"/>
      <c r="G3" s="94"/>
      <c r="H3" s="94"/>
    </row>
    <row r="4">
      <c r="A4" s="86" t="str">
        <f>'Project Team'!A4</f>
        <v>Raza</v>
      </c>
      <c r="B4" s="86" t="str">
        <f>'Project Team'!B4</f>
        <v>Asad</v>
      </c>
      <c r="C4" s="95"/>
      <c r="D4" s="88"/>
      <c r="G4" s="91"/>
      <c r="H4" s="91"/>
    </row>
    <row r="5">
      <c r="A5" s="92" t="str">
        <f>'Project Team'!A5</f>
        <v>Jokiel</v>
      </c>
      <c r="B5" s="92" t="str">
        <f>'Project Team'!B5</f>
        <v>Rene</v>
      </c>
      <c r="C5" s="96"/>
      <c r="D5" s="97"/>
      <c r="E5" s="97"/>
      <c r="F5" s="97"/>
      <c r="G5" s="94"/>
      <c r="H5" s="94"/>
    </row>
    <row r="6">
      <c r="A6" s="86" t="str">
        <f>'Project Team'!A6</f>
        <v>Mosler</v>
      </c>
      <c r="B6" s="86" t="str">
        <f>'Project Team'!B6</f>
        <v>Carl</v>
      </c>
      <c r="C6" s="95"/>
      <c r="D6" s="98"/>
      <c r="E6" s="99">
        <v>0.0</v>
      </c>
      <c r="F6" s="100" t="s">
        <v>152</v>
      </c>
      <c r="G6" s="91"/>
      <c r="H6" s="91"/>
    </row>
    <row r="7">
      <c r="A7" s="92" t="str">
        <f>'Project Team'!A7</f>
        <v>Vineesh</v>
      </c>
      <c r="B7" s="92" t="str">
        <f>'Project Team'!B7</f>
        <v>Koppay</v>
      </c>
      <c r="C7" s="95"/>
      <c r="D7" s="97"/>
      <c r="E7" s="99">
        <v>1.0</v>
      </c>
      <c r="F7" s="100" t="s">
        <v>153</v>
      </c>
      <c r="G7" s="94"/>
      <c r="H7" s="94"/>
    </row>
    <row r="8">
      <c r="A8" s="86" t="str">
        <f>'Project Team'!A8</f>
        <v>Moeez</v>
      </c>
      <c r="B8" s="86" t="str">
        <f>'Project Team'!B8</f>
        <v>Abdul</v>
      </c>
      <c r="C8" s="96"/>
      <c r="D8" s="98"/>
      <c r="E8" s="99">
        <v>2.0</v>
      </c>
      <c r="F8" s="100" t="s">
        <v>154</v>
      </c>
      <c r="G8" s="91"/>
      <c r="H8" s="91"/>
    </row>
    <row r="9">
      <c r="A9" s="92" t="str">
        <f>'Project Team'!A9</f>
        <v>Thakur</v>
      </c>
      <c r="B9" s="92" t="str">
        <f>'Project Team'!B9</f>
        <v>Shikhar</v>
      </c>
      <c r="C9" s="96"/>
      <c r="D9" s="97"/>
      <c r="E9" s="99">
        <v>3.0</v>
      </c>
      <c r="F9" s="100" t="s">
        <v>155</v>
      </c>
      <c r="G9" s="94"/>
      <c r="H9" s="94"/>
    </row>
    <row r="10">
      <c r="A10" s="86" t="str">
        <f>'Project Team'!A10</f>
        <v>Dhruvin</v>
      </c>
      <c r="B10" s="86" t="str">
        <f>'Project Team'!B10</f>
        <v>Vekariya</v>
      </c>
      <c r="C10" s="96"/>
      <c r="D10" s="98"/>
      <c r="E10" s="99">
        <v>5.0</v>
      </c>
      <c r="F10" s="100" t="s">
        <v>156</v>
      </c>
      <c r="G10" s="91"/>
      <c r="H10" s="91"/>
    </row>
    <row r="11">
      <c r="A11" s="92"/>
      <c r="B11" s="92"/>
      <c r="C11" s="95"/>
      <c r="D11" s="97"/>
      <c r="E11" s="99">
        <v>8.0</v>
      </c>
      <c r="F11" s="100" t="s">
        <v>157</v>
      </c>
      <c r="G11" s="94"/>
      <c r="H11" s="94"/>
    </row>
    <row r="12">
      <c r="A12" s="86"/>
      <c r="B12" s="86"/>
      <c r="C12" s="95"/>
      <c r="D12" s="98"/>
      <c r="E12" s="99">
        <v>13.0</v>
      </c>
      <c r="F12" s="100" t="s">
        <v>158</v>
      </c>
      <c r="G12" s="91"/>
      <c r="H12" s="91"/>
    </row>
    <row r="13">
      <c r="A13" s="92"/>
      <c r="B13" s="92"/>
      <c r="C13" s="97"/>
      <c r="D13" s="97"/>
      <c r="E13" s="97"/>
      <c r="F13" s="97"/>
      <c r="G13" s="94"/>
      <c r="H13" s="94"/>
    </row>
    <row r="14">
      <c r="A14" s="101" t="s">
        <v>159</v>
      </c>
      <c r="B14" s="102"/>
      <c r="C14" s="102"/>
      <c r="D14" s="102"/>
      <c r="E14" s="102"/>
      <c r="F14" s="102"/>
      <c r="G14" s="102"/>
      <c r="H14" s="102"/>
    </row>
    <row r="15">
      <c r="A15" s="103"/>
      <c r="B15" s="103"/>
      <c r="C15" s="103"/>
      <c r="D15" s="103"/>
      <c r="E15" s="103"/>
      <c r="F15" s="103"/>
      <c r="G15" s="103"/>
      <c r="H15" s="103"/>
    </row>
    <row r="16">
      <c r="A16" s="104" t="s">
        <v>160</v>
      </c>
      <c r="B16" s="105"/>
      <c r="C16" s="105"/>
      <c r="D16" s="105"/>
      <c r="E16" s="105"/>
      <c r="F16" s="105"/>
      <c r="G16" s="105"/>
      <c r="H16" s="105"/>
    </row>
    <row r="17">
      <c r="A17" s="106" t="s">
        <v>161</v>
      </c>
      <c r="B17" s="103"/>
      <c r="C17" s="103"/>
      <c r="D17" s="103"/>
      <c r="E17" s="103"/>
      <c r="F17" s="103"/>
      <c r="G17" s="103"/>
      <c r="H17" s="103"/>
    </row>
    <row r="18">
      <c r="A18" s="104" t="s">
        <v>162</v>
      </c>
      <c r="B18" s="105"/>
      <c r="C18" s="105"/>
      <c r="D18" s="105"/>
      <c r="E18" s="105"/>
      <c r="F18" s="105"/>
      <c r="G18" s="105"/>
      <c r="H18" s="105"/>
    </row>
    <row r="19">
      <c r="A19" s="103"/>
      <c r="B19" s="103"/>
      <c r="C19" s="103"/>
      <c r="D19" s="103"/>
      <c r="E19" s="103"/>
      <c r="F19" s="103"/>
      <c r="G19" s="103"/>
      <c r="H19" s="103"/>
    </row>
    <row r="20">
      <c r="A20" s="105"/>
      <c r="B20" s="105"/>
      <c r="C20" s="105"/>
      <c r="D20" s="105"/>
      <c r="E20" s="105"/>
      <c r="F20" s="105"/>
      <c r="G20" s="105"/>
      <c r="H20" s="105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